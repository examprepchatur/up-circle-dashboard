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esktop\SI CO lko\1 dashboard\up-circle-dashboard\uploads\"/>
    </mc:Choice>
  </mc:AlternateContent>
  <xr:revisionPtr revIDLastSave="0" documentId="8_{21914951-9545-43D1-8714-9496A69161C5}" xr6:coauthVersionLast="47" xr6:coauthVersionMax="47" xr10:uidLastSave="{00000000-0000-0000-0000-000000000000}"/>
  <bookViews>
    <workbookView xWindow="-96" yWindow="0" windowWidth="11712" windowHeight="12336" firstSheet="6" activeTab="6" xr2:uid="{00000000-000D-0000-FFFF-FFFF00000000}"/>
  </bookViews>
  <sheets>
    <sheet name="Digital_COD_Daily" sheetId="1" r:id="rId1"/>
    <sheet name="Total_Score" sheetId="2" r:id="rId2"/>
    <sheet name="Mail_Growth" sheetId="3" r:id="rId3"/>
    <sheet name="Parcel_Growth" sheetId="4" r:id="rId4"/>
    <sheet name="Digital_COD_Trend" sheetId="5" r:id="rId5"/>
    <sheet name="Foreign_Destination" sheetId="6" r:id="rId6"/>
    <sheet name="DNK_Port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7" l="1"/>
  <c r="F68" i="7" s="1"/>
  <c r="G68" i="7" s="1"/>
  <c r="H68" i="7" s="1"/>
  <c r="F67" i="7"/>
  <c r="G67" i="7" s="1"/>
  <c r="H67" i="7" s="1"/>
  <c r="F61" i="7"/>
  <c r="G61" i="7" s="1"/>
  <c r="H61" i="7" s="1"/>
  <c r="F55" i="7"/>
  <c r="G55" i="7" s="1"/>
  <c r="H55" i="7" s="1"/>
  <c r="F47" i="7"/>
  <c r="G47" i="7" s="1"/>
  <c r="H47" i="7" s="1"/>
  <c r="F39" i="7"/>
  <c r="G39" i="7" s="1"/>
  <c r="H39" i="7" s="1"/>
  <c r="F31" i="7"/>
  <c r="G31" i="7" s="1"/>
  <c r="H31" i="7" s="1"/>
  <c r="F27" i="7"/>
  <c r="G27" i="7" s="1"/>
  <c r="H27" i="7" s="1"/>
  <c r="F14" i="7"/>
  <c r="G14" i="7" s="1"/>
  <c r="H14" i="7" s="1"/>
  <c r="F69" i="6"/>
  <c r="G69" i="6" s="1"/>
  <c r="H69" i="6" s="1"/>
  <c r="F68" i="6"/>
  <c r="G68" i="6" s="1"/>
  <c r="H68" i="6" s="1"/>
  <c r="F67" i="6"/>
  <c r="G67" i="6" s="1"/>
  <c r="H67" i="6" s="1"/>
  <c r="F66" i="6"/>
  <c r="G66" i="6" s="1"/>
  <c r="H66" i="6" s="1"/>
  <c r="F65" i="6"/>
  <c r="G65" i="6" s="1"/>
  <c r="H65" i="6" s="1"/>
  <c r="F64" i="6"/>
  <c r="G64" i="6" s="1"/>
  <c r="H64" i="6" s="1"/>
  <c r="F63" i="6"/>
  <c r="G63" i="6" s="1"/>
  <c r="H63" i="6" s="1"/>
  <c r="F62" i="6"/>
  <c r="G62" i="6" s="1"/>
  <c r="H62" i="6" s="1"/>
  <c r="F61" i="6"/>
  <c r="G61" i="6" s="1"/>
  <c r="H61" i="6" s="1"/>
  <c r="F60" i="6"/>
  <c r="G60" i="6" s="1"/>
  <c r="H60" i="6" s="1"/>
  <c r="F59" i="6"/>
  <c r="G59" i="6" s="1"/>
  <c r="H59" i="6" s="1"/>
  <c r="F58" i="6"/>
  <c r="G58" i="6" s="1"/>
  <c r="H58" i="6" s="1"/>
  <c r="F57" i="6"/>
  <c r="G57" i="6" s="1"/>
  <c r="H57" i="6" s="1"/>
  <c r="F56" i="6"/>
  <c r="G56" i="6" s="1"/>
  <c r="H56" i="6" s="1"/>
  <c r="F55" i="6"/>
  <c r="G55" i="6" s="1"/>
  <c r="H55" i="6" s="1"/>
  <c r="F54" i="6"/>
  <c r="G54" i="6" s="1"/>
  <c r="H54" i="6" s="1"/>
  <c r="F53" i="6"/>
  <c r="G53" i="6" s="1"/>
  <c r="H53" i="6" s="1"/>
  <c r="F52" i="6"/>
  <c r="G52" i="6" s="1"/>
  <c r="H52" i="6" s="1"/>
  <c r="F51" i="6"/>
  <c r="G51" i="6" s="1"/>
  <c r="H51" i="6" s="1"/>
  <c r="G50" i="6"/>
  <c r="H50" i="6" s="1"/>
  <c r="F50" i="6"/>
  <c r="F49" i="6"/>
  <c r="G49" i="6" s="1"/>
  <c r="H49" i="6" s="1"/>
  <c r="F48" i="6"/>
  <c r="G48" i="6" s="1"/>
  <c r="H48" i="6" s="1"/>
  <c r="F47" i="6"/>
  <c r="G47" i="6" s="1"/>
  <c r="H47" i="6" s="1"/>
  <c r="F46" i="6"/>
  <c r="G46" i="6" s="1"/>
  <c r="H46" i="6" s="1"/>
  <c r="F45" i="6"/>
  <c r="G45" i="6" s="1"/>
  <c r="H45" i="6" s="1"/>
  <c r="F44" i="6"/>
  <c r="G44" i="6" s="1"/>
  <c r="H44" i="6" s="1"/>
  <c r="F43" i="6"/>
  <c r="G43" i="6" s="1"/>
  <c r="H43" i="6" s="1"/>
  <c r="F42" i="6"/>
  <c r="G42" i="6" s="1"/>
  <c r="H42" i="6" s="1"/>
  <c r="F41" i="6"/>
  <c r="G41" i="6" s="1"/>
  <c r="H41" i="6" s="1"/>
  <c r="F40" i="6"/>
  <c r="G40" i="6" s="1"/>
  <c r="H40" i="6" s="1"/>
  <c r="H39" i="6"/>
  <c r="F39" i="6"/>
  <c r="F38" i="6"/>
  <c r="G38" i="6" s="1"/>
  <c r="H38" i="6" s="1"/>
  <c r="F37" i="6"/>
  <c r="G37" i="6" s="1"/>
  <c r="H37" i="6" s="1"/>
  <c r="F36" i="6"/>
  <c r="G36" i="6" s="1"/>
  <c r="H36" i="6" s="1"/>
  <c r="F35" i="6"/>
  <c r="G35" i="6" s="1"/>
  <c r="H35" i="6" s="1"/>
  <c r="F34" i="6"/>
  <c r="G34" i="6" s="1"/>
  <c r="H34" i="6" s="1"/>
  <c r="F33" i="6"/>
  <c r="G33" i="6" s="1"/>
  <c r="H33" i="6" s="1"/>
  <c r="F32" i="6"/>
  <c r="G32" i="6" s="1"/>
  <c r="H32" i="6" s="1"/>
  <c r="F31" i="6"/>
  <c r="G31" i="6" s="1"/>
  <c r="H31" i="6" s="1"/>
  <c r="F30" i="6"/>
  <c r="G30" i="6" s="1"/>
  <c r="H30" i="6" s="1"/>
  <c r="F29" i="6"/>
  <c r="G29" i="6" s="1"/>
  <c r="H29" i="6" s="1"/>
  <c r="F28" i="6"/>
  <c r="G28" i="6" s="1"/>
  <c r="H28" i="6" s="1"/>
  <c r="F27" i="6"/>
  <c r="G27" i="6" s="1"/>
  <c r="H27" i="6" s="1"/>
  <c r="F26" i="6"/>
  <c r="G26" i="6" s="1"/>
  <c r="H26" i="6" s="1"/>
  <c r="F25" i="6"/>
  <c r="G25" i="6" s="1"/>
  <c r="H25" i="6" s="1"/>
  <c r="G24" i="6"/>
  <c r="H24" i="6" s="1"/>
  <c r="F24" i="6"/>
  <c r="F23" i="6"/>
  <c r="G23" i="6" s="1"/>
  <c r="H23" i="6" s="1"/>
  <c r="F22" i="6"/>
  <c r="G22" i="6" s="1"/>
  <c r="H22" i="6" s="1"/>
  <c r="F21" i="6"/>
  <c r="G21" i="6" s="1"/>
  <c r="H21" i="6" s="1"/>
  <c r="F20" i="6"/>
  <c r="G20" i="6" s="1"/>
  <c r="H20" i="6" s="1"/>
  <c r="F19" i="6"/>
  <c r="G19" i="6" s="1"/>
  <c r="H19" i="6" s="1"/>
  <c r="F18" i="6"/>
  <c r="G18" i="6" s="1"/>
  <c r="H18" i="6" s="1"/>
  <c r="F17" i="6"/>
  <c r="G17" i="6" s="1"/>
  <c r="H17" i="6" s="1"/>
  <c r="F16" i="6"/>
  <c r="G16" i="6" s="1"/>
  <c r="H16" i="6" s="1"/>
  <c r="F15" i="6"/>
  <c r="G15" i="6" s="1"/>
  <c r="H15" i="6" s="1"/>
  <c r="H14" i="6"/>
  <c r="F14" i="6"/>
  <c r="F13" i="6"/>
  <c r="G13" i="6" s="1"/>
  <c r="H13" i="6" s="1"/>
  <c r="F12" i="6"/>
  <c r="G12" i="6" s="1"/>
  <c r="H12" i="6" s="1"/>
  <c r="F11" i="6"/>
  <c r="G11" i="6" s="1"/>
  <c r="H11" i="6" s="1"/>
  <c r="F10" i="6"/>
  <c r="G10" i="6" s="1"/>
  <c r="H10" i="6" s="1"/>
  <c r="F9" i="6"/>
  <c r="G9" i="6" s="1"/>
  <c r="H9" i="6" s="1"/>
  <c r="F8" i="6"/>
  <c r="G8" i="6" s="1"/>
  <c r="H8" i="6" s="1"/>
  <c r="F7" i="6"/>
  <c r="G7" i="6" s="1"/>
  <c r="H7" i="6" s="1"/>
  <c r="F6" i="6"/>
  <c r="G6" i="6" s="1"/>
  <c r="H6" i="6" s="1"/>
  <c r="E64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F68" i="4"/>
  <c r="G68" i="4" s="1"/>
  <c r="H68" i="4" s="1"/>
  <c r="F67" i="4"/>
  <c r="G67" i="4" s="1"/>
  <c r="H67" i="4" s="1"/>
  <c r="F66" i="4"/>
  <c r="G66" i="4" s="1"/>
  <c r="H66" i="4" s="1"/>
  <c r="F65" i="4"/>
  <c r="G65" i="4" s="1"/>
  <c r="H65" i="4" s="1"/>
  <c r="F64" i="4"/>
  <c r="G64" i="4" s="1"/>
  <c r="H64" i="4" s="1"/>
  <c r="F63" i="4"/>
  <c r="G63" i="4" s="1"/>
  <c r="H63" i="4" s="1"/>
  <c r="F62" i="4"/>
  <c r="G62" i="4" s="1"/>
  <c r="H62" i="4" s="1"/>
  <c r="F61" i="4"/>
  <c r="G61" i="4" s="1"/>
  <c r="H61" i="4" s="1"/>
  <c r="F60" i="4"/>
  <c r="G60" i="4" s="1"/>
  <c r="H60" i="4" s="1"/>
  <c r="F59" i="4"/>
  <c r="G59" i="4" s="1"/>
  <c r="H59" i="4" s="1"/>
  <c r="F58" i="4"/>
  <c r="G58" i="4" s="1"/>
  <c r="H58" i="4" s="1"/>
  <c r="F57" i="4"/>
  <c r="G57" i="4" s="1"/>
  <c r="H57" i="4" s="1"/>
  <c r="F56" i="4"/>
  <c r="G56" i="4" s="1"/>
  <c r="H56" i="4" s="1"/>
  <c r="F55" i="4"/>
  <c r="G55" i="4" s="1"/>
  <c r="H55" i="4" s="1"/>
  <c r="F54" i="4"/>
  <c r="G54" i="4" s="1"/>
  <c r="H54" i="4" s="1"/>
  <c r="F53" i="4"/>
  <c r="G53" i="4" s="1"/>
  <c r="H53" i="4" s="1"/>
  <c r="F52" i="4"/>
  <c r="G52" i="4" s="1"/>
  <c r="H52" i="4" s="1"/>
  <c r="F51" i="4"/>
  <c r="G51" i="4" s="1"/>
  <c r="H51" i="4" s="1"/>
  <c r="F50" i="4"/>
  <c r="G50" i="4" s="1"/>
  <c r="H50" i="4" s="1"/>
  <c r="F49" i="4"/>
  <c r="G49" i="4" s="1"/>
  <c r="H49" i="4" s="1"/>
  <c r="F48" i="4"/>
  <c r="G48" i="4" s="1"/>
  <c r="H48" i="4" s="1"/>
  <c r="F47" i="4"/>
  <c r="G47" i="4" s="1"/>
  <c r="H47" i="4" s="1"/>
  <c r="F46" i="4"/>
  <c r="G46" i="4" s="1"/>
  <c r="H46" i="4" s="1"/>
  <c r="F45" i="4"/>
  <c r="G45" i="4" s="1"/>
  <c r="H45" i="4" s="1"/>
  <c r="F44" i="4"/>
  <c r="G44" i="4" s="1"/>
  <c r="H44" i="4" s="1"/>
  <c r="F43" i="4"/>
  <c r="G43" i="4" s="1"/>
  <c r="H43" i="4" s="1"/>
  <c r="F42" i="4"/>
  <c r="G42" i="4" s="1"/>
  <c r="H42" i="4" s="1"/>
  <c r="F41" i="4"/>
  <c r="G41" i="4" s="1"/>
  <c r="H41" i="4" s="1"/>
  <c r="F40" i="4"/>
  <c r="G40" i="4" s="1"/>
  <c r="H40" i="4" s="1"/>
  <c r="F39" i="4"/>
  <c r="G39" i="4" s="1"/>
  <c r="H39" i="4" s="1"/>
  <c r="F38" i="4"/>
  <c r="G38" i="4" s="1"/>
  <c r="H38" i="4" s="1"/>
  <c r="F37" i="4"/>
  <c r="G37" i="4" s="1"/>
  <c r="H37" i="4" s="1"/>
  <c r="F36" i="4"/>
  <c r="G36" i="4" s="1"/>
  <c r="H36" i="4" s="1"/>
  <c r="F35" i="4"/>
  <c r="G35" i="4" s="1"/>
  <c r="H35" i="4" s="1"/>
  <c r="F34" i="4"/>
  <c r="G34" i="4" s="1"/>
  <c r="H34" i="4" s="1"/>
  <c r="F33" i="4"/>
  <c r="G33" i="4" s="1"/>
  <c r="H33" i="4" s="1"/>
  <c r="F32" i="4"/>
  <c r="G32" i="4" s="1"/>
  <c r="H32" i="4" s="1"/>
  <c r="F31" i="4"/>
  <c r="G31" i="4" s="1"/>
  <c r="H31" i="4" s="1"/>
  <c r="F30" i="4"/>
  <c r="G30" i="4" s="1"/>
  <c r="H30" i="4" s="1"/>
  <c r="F29" i="4"/>
  <c r="G29" i="4" s="1"/>
  <c r="H29" i="4" s="1"/>
  <c r="F28" i="4"/>
  <c r="G28" i="4" s="1"/>
  <c r="H28" i="4" s="1"/>
  <c r="F27" i="4"/>
  <c r="G27" i="4" s="1"/>
  <c r="H27" i="4" s="1"/>
  <c r="F26" i="4"/>
  <c r="G26" i="4" s="1"/>
  <c r="H26" i="4" s="1"/>
  <c r="F25" i="4"/>
  <c r="G25" i="4" s="1"/>
  <c r="H25" i="4" s="1"/>
  <c r="F24" i="4"/>
  <c r="G24" i="4" s="1"/>
  <c r="H24" i="4" s="1"/>
  <c r="F23" i="4"/>
  <c r="G23" i="4" s="1"/>
  <c r="H23" i="4" s="1"/>
  <c r="F22" i="4"/>
  <c r="G22" i="4" s="1"/>
  <c r="H22" i="4" s="1"/>
  <c r="F21" i="4"/>
  <c r="G21" i="4" s="1"/>
  <c r="H21" i="4" s="1"/>
  <c r="F20" i="4"/>
  <c r="G20" i="4" s="1"/>
  <c r="H20" i="4" s="1"/>
  <c r="F19" i="4"/>
  <c r="G19" i="4" s="1"/>
  <c r="H19" i="4" s="1"/>
  <c r="F18" i="4"/>
  <c r="G18" i="4" s="1"/>
  <c r="H18" i="4" s="1"/>
  <c r="F17" i="4"/>
  <c r="G17" i="4" s="1"/>
  <c r="H17" i="4" s="1"/>
  <c r="F16" i="4"/>
  <c r="G16" i="4" s="1"/>
  <c r="H16" i="4" s="1"/>
  <c r="F15" i="4"/>
  <c r="G15" i="4" s="1"/>
  <c r="H15" i="4" s="1"/>
  <c r="F14" i="4"/>
  <c r="G14" i="4" s="1"/>
  <c r="H14" i="4" s="1"/>
  <c r="F13" i="4"/>
  <c r="G13" i="4" s="1"/>
  <c r="H13" i="4" s="1"/>
  <c r="F12" i="4"/>
  <c r="G12" i="4" s="1"/>
  <c r="H12" i="4" s="1"/>
  <c r="F11" i="4"/>
  <c r="G11" i="4" s="1"/>
  <c r="H11" i="4" s="1"/>
  <c r="F10" i="4"/>
  <c r="G10" i="4" s="1"/>
  <c r="H10" i="4" s="1"/>
  <c r="F9" i="4"/>
  <c r="G9" i="4" s="1"/>
  <c r="H9" i="4" s="1"/>
  <c r="F8" i="4"/>
  <c r="G8" i="4" s="1"/>
  <c r="H8" i="4" s="1"/>
  <c r="F7" i="4"/>
  <c r="G7" i="4" s="1"/>
  <c r="H7" i="4" s="1"/>
  <c r="F6" i="4"/>
  <c r="G6" i="4" s="1"/>
  <c r="H6" i="4" s="1"/>
  <c r="F5" i="4"/>
  <c r="G5" i="4" s="1"/>
  <c r="H5" i="4" s="1"/>
  <c r="J68" i="3"/>
  <c r="K68" i="3" s="1"/>
  <c r="L68" i="3" s="1"/>
  <c r="M68" i="3" s="1"/>
  <c r="F68" i="3"/>
  <c r="G68" i="3" s="1"/>
  <c r="H68" i="3" s="1"/>
  <c r="K67" i="3"/>
  <c r="L67" i="3" s="1"/>
  <c r="M67" i="3" s="1"/>
  <c r="F67" i="3"/>
  <c r="G67" i="3" s="1"/>
  <c r="H67" i="3" s="1"/>
  <c r="F66" i="3"/>
  <c r="G66" i="3" s="1"/>
  <c r="H66" i="3" s="1"/>
  <c r="F65" i="3"/>
  <c r="G65" i="3" s="1"/>
  <c r="H65" i="3" s="1"/>
  <c r="F64" i="3"/>
  <c r="G64" i="3" s="1"/>
  <c r="H64" i="3" s="1"/>
  <c r="F63" i="3"/>
  <c r="G63" i="3" s="1"/>
  <c r="H63" i="3" s="1"/>
  <c r="F62" i="3"/>
  <c r="G62" i="3" s="1"/>
  <c r="H62" i="3" s="1"/>
  <c r="K61" i="3"/>
  <c r="L61" i="3" s="1"/>
  <c r="M61" i="3" s="1"/>
  <c r="F61" i="3"/>
  <c r="G61" i="3" s="1"/>
  <c r="H61" i="3" s="1"/>
  <c r="F60" i="3"/>
  <c r="G60" i="3" s="1"/>
  <c r="H60" i="3" s="1"/>
  <c r="F59" i="3"/>
  <c r="G59" i="3" s="1"/>
  <c r="H59" i="3" s="1"/>
  <c r="F58" i="3"/>
  <c r="G58" i="3" s="1"/>
  <c r="H58" i="3" s="1"/>
  <c r="F57" i="3"/>
  <c r="G57" i="3" s="1"/>
  <c r="H57" i="3" s="1"/>
  <c r="F56" i="3"/>
  <c r="G56" i="3" s="1"/>
  <c r="H56" i="3" s="1"/>
  <c r="K55" i="3"/>
  <c r="L55" i="3" s="1"/>
  <c r="M55" i="3" s="1"/>
  <c r="F55" i="3"/>
  <c r="G55" i="3" s="1"/>
  <c r="H55" i="3" s="1"/>
  <c r="G54" i="3"/>
  <c r="H54" i="3" s="1"/>
  <c r="F54" i="3"/>
  <c r="F53" i="3"/>
  <c r="G53" i="3" s="1"/>
  <c r="H53" i="3" s="1"/>
  <c r="F52" i="3"/>
  <c r="G52" i="3" s="1"/>
  <c r="H52" i="3" s="1"/>
  <c r="F51" i="3"/>
  <c r="G51" i="3" s="1"/>
  <c r="H51" i="3" s="1"/>
  <c r="F50" i="3"/>
  <c r="G50" i="3" s="1"/>
  <c r="H50" i="3" s="1"/>
  <c r="F49" i="3"/>
  <c r="G49" i="3" s="1"/>
  <c r="H49" i="3" s="1"/>
  <c r="F48" i="3"/>
  <c r="G48" i="3" s="1"/>
  <c r="H48" i="3" s="1"/>
  <c r="K47" i="3"/>
  <c r="L47" i="3" s="1"/>
  <c r="M47" i="3" s="1"/>
  <c r="F47" i="3"/>
  <c r="G47" i="3" s="1"/>
  <c r="H47" i="3" s="1"/>
  <c r="F46" i="3"/>
  <c r="G46" i="3" s="1"/>
  <c r="H46" i="3" s="1"/>
  <c r="F45" i="3"/>
  <c r="G45" i="3" s="1"/>
  <c r="H45" i="3" s="1"/>
  <c r="F44" i="3"/>
  <c r="G44" i="3" s="1"/>
  <c r="H44" i="3" s="1"/>
  <c r="F43" i="3"/>
  <c r="G43" i="3" s="1"/>
  <c r="H43" i="3" s="1"/>
  <c r="F42" i="3"/>
  <c r="G42" i="3" s="1"/>
  <c r="H42" i="3" s="1"/>
  <c r="F41" i="3"/>
  <c r="G41" i="3" s="1"/>
  <c r="H41" i="3" s="1"/>
  <c r="F40" i="3"/>
  <c r="G40" i="3" s="1"/>
  <c r="H40" i="3" s="1"/>
  <c r="K39" i="3"/>
  <c r="L39" i="3" s="1"/>
  <c r="M39" i="3" s="1"/>
  <c r="F39" i="3"/>
  <c r="G39" i="3" s="1"/>
  <c r="H39" i="3" s="1"/>
  <c r="F38" i="3"/>
  <c r="G38" i="3" s="1"/>
  <c r="H38" i="3" s="1"/>
  <c r="F37" i="3"/>
  <c r="G37" i="3" s="1"/>
  <c r="H37" i="3" s="1"/>
  <c r="F36" i="3"/>
  <c r="G36" i="3" s="1"/>
  <c r="H36" i="3" s="1"/>
  <c r="F35" i="3"/>
  <c r="G35" i="3" s="1"/>
  <c r="H35" i="3" s="1"/>
  <c r="F34" i="3"/>
  <c r="G34" i="3" s="1"/>
  <c r="H34" i="3" s="1"/>
  <c r="F33" i="3"/>
  <c r="G33" i="3" s="1"/>
  <c r="H33" i="3" s="1"/>
  <c r="F32" i="3"/>
  <c r="G32" i="3" s="1"/>
  <c r="H32" i="3" s="1"/>
  <c r="K31" i="3"/>
  <c r="L31" i="3" s="1"/>
  <c r="M31" i="3" s="1"/>
  <c r="F31" i="3"/>
  <c r="G31" i="3" s="1"/>
  <c r="H31" i="3" s="1"/>
  <c r="F30" i="3"/>
  <c r="G30" i="3" s="1"/>
  <c r="H30" i="3" s="1"/>
  <c r="F29" i="3"/>
  <c r="G29" i="3" s="1"/>
  <c r="H29" i="3" s="1"/>
  <c r="G28" i="3"/>
  <c r="H28" i="3" s="1"/>
  <c r="F28" i="3"/>
  <c r="K27" i="3"/>
  <c r="L27" i="3" s="1"/>
  <c r="M27" i="3" s="1"/>
  <c r="F27" i="3"/>
  <c r="G27" i="3" s="1"/>
  <c r="H27" i="3" s="1"/>
  <c r="F26" i="3"/>
  <c r="G26" i="3" s="1"/>
  <c r="H26" i="3" s="1"/>
  <c r="F25" i="3"/>
  <c r="G25" i="3" s="1"/>
  <c r="H25" i="3" s="1"/>
  <c r="F24" i="3"/>
  <c r="G24" i="3" s="1"/>
  <c r="H24" i="3" s="1"/>
  <c r="F23" i="3"/>
  <c r="G23" i="3" s="1"/>
  <c r="H23" i="3" s="1"/>
  <c r="F22" i="3"/>
  <c r="G22" i="3" s="1"/>
  <c r="H22" i="3" s="1"/>
  <c r="F21" i="3"/>
  <c r="G21" i="3" s="1"/>
  <c r="H21" i="3" s="1"/>
  <c r="F20" i="3"/>
  <c r="G20" i="3" s="1"/>
  <c r="H20" i="3" s="1"/>
  <c r="F19" i="3"/>
  <c r="G19" i="3" s="1"/>
  <c r="H19" i="3" s="1"/>
  <c r="F18" i="3"/>
  <c r="G18" i="3" s="1"/>
  <c r="H18" i="3" s="1"/>
  <c r="F17" i="3"/>
  <c r="G17" i="3" s="1"/>
  <c r="H17" i="3" s="1"/>
  <c r="F16" i="3"/>
  <c r="G16" i="3" s="1"/>
  <c r="H16" i="3" s="1"/>
  <c r="F15" i="3"/>
  <c r="G15" i="3" s="1"/>
  <c r="H15" i="3" s="1"/>
  <c r="K14" i="3"/>
  <c r="L14" i="3" s="1"/>
  <c r="M14" i="3" s="1"/>
  <c r="F14" i="3"/>
  <c r="G14" i="3" s="1"/>
  <c r="H14" i="3" s="1"/>
  <c r="F13" i="3"/>
  <c r="G13" i="3" s="1"/>
  <c r="H13" i="3" s="1"/>
  <c r="F12" i="3"/>
  <c r="G12" i="3" s="1"/>
  <c r="H12" i="3" s="1"/>
  <c r="F11" i="3"/>
  <c r="G11" i="3" s="1"/>
  <c r="H11" i="3" s="1"/>
  <c r="F10" i="3"/>
  <c r="G10" i="3" s="1"/>
  <c r="H10" i="3" s="1"/>
  <c r="F9" i="3"/>
  <c r="G9" i="3" s="1"/>
  <c r="H9" i="3" s="1"/>
  <c r="F8" i="3"/>
  <c r="G8" i="3" s="1"/>
  <c r="H8" i="3" s="1"/>
  <c r="F7" i="3"/>
  <c r="G7" i="3" s="1"/>
  <c r="H7" i="3" s="1"/>
  <c r="F6" i="3"/>
  <c r="G6" i="3" s="1"/>
  <c r="H6" i="3" s="1"/>
  <c r="F5" i="3"/>
  <c r="G5" i="3" s="1"/>
  <c r="H5" i="3" s="1"/>
  <c r="K8" i="2"/>
  <c r="J8" i="2"/>
  <c r="I8" i="2"/>
  <c r="H8" i="2"/>
  <c r="G8" i="2"/>
  <c r="F8" i="2"/>
  <c r="E8" i="2"/>
  <c r="D8" i="2"/>
  <c r="C8" i="2"/>
  <c r="D62" i="1"/>
  <c r="C62" i="1"/>
  <c r="E62" i="1" s="1"/>
</calcChain>
</file>

<file path=xl/sharedStrings.xml><?xml version="1.0" encoding="utf-8"?>
<sst xmlns="http://schemas.openxmlformats.org/spreadsheetml/2006/main" count="850" uniqueCount="143">
  <si>
    <t>DAILY MONITORING REPORT - 1st</t>
  </si>
  <si>
    <t>Target = 50% Digital Transaction by the end of May 2026</t>
  </si>
  <si>
    <t>Source: APT 2.0 &gt; MIS Reports &gt; Bulk Customer KPI Reports &gt; COD Collection Report</t>
  </si>
  <si>
    <t>Daily Digital COD Collection (Count) Summary Report for Dated : 20.05.2026</t>
  </si>
  <si>
    <t>Region Name</t>
  </si>
  <si>
    <t>Division Name (Office Name)</t>
  </si>
  <si>
    <t>COD Digital Count</t>
  </si>
  <si>
    <t>Total COD Count</t>
  </si>
  <si>
    <t>% Digital COD</t>
  </si>
  <si>
    <t>Agra Region</t>
  </si>
  <si>
    <t>Agra Division</t>
  </si>
  <si>
    <t>Aligarh Division</t>
  </si>
  <si>
    <t>Bulandshahar Division</t>
  </si>
  <si>
    <t>Etah Division</t>
  </si>
  <si>
    <t>Etawah Division</t>
  </si>
  <si>
    <t>Jhansi Division</t>
  </si>
  <si>
    <t>Mainpuri Division</t>
  </si>
  <si>
    <t>Mathura Division</t>
  </si>
  <si>
    <t>Agra Region Total</t>
  </si>
  <si>
    <t>Bareilly Region</t>
  </si>
  <si>
    <t>Baghpat Division</t>
  </si>
  <si>
    <t>Bareilly Division</t>
  </si>
  <si>
    <t>Bijnor Division</t>
  </si>
  <si>
    <t>Budaun Division</t>
  </si>
  <si>
    <t>Hardoi Division</t>
  </si>
  <si>
    <t>Kheri Division</t>
  </si>
  <si>
    <t>Meerut Division</t>
  </si>
  <si>
    <t>Moradabad Division</t>
  </si>
  <si>
    <t>Muzaffarnagar Division</t>
  </si>
  <si>
    <t>Saharanpur Division</t>
  </si>
  <si>
    <t>Shahjahanpur Division</t>
  </si>
  <si>
    <t>Bareilly Region Total</t>
  </si>
  <si>
    <t>CHQ Region</t>
  </si>
  <si>
    <t>Gautam Buddha Nagar Division office</t>
  </si>
  <si>
    <t>Ghaziabad Division</t>
  </si>
  <si>
    <t>CHQ Region Total</t>
  </si>
  <si>
    <t>Gorakhpur Region</t>
  </si>
  <si>
    <t>Azamgarh Division</t>
  </si>
  <si>
    <t>Bahraich Division</t>
  </si>
  <si>
    <t>Basti Division</t>
  </si>
  <si>
    <t>Deoria Division</t>
  </si>
  <si>
    <t>Gonda Division</t>
  </si>
  <si>
    <t>Gorakhpur Division</t>
  </si>
  <si>
    <t>Gorakhpur Region Total</t>
  </si>
  <si>
    <t>Kanpur Region</t>
  </si>
  <si>
    <t>Banda Division</t>
  </si>
  <si>
    <t>Fatehgarh Division</t>
  </si>
  <si>
    <t>Fatehpur Division</t>
  </si>
  <si>
    <t>Kanpur City Division</t>
  </si>
  <si>
    <t>Kanpur HO Division</t>
  </si>
  <si>
    <t>Kanpur Moffusil Division</t>
  </si>
  <si>
    <t>Kanpur Region Total</t>
  </si>
  <si>
    <t>Lucknow HQ Region</t>
  </si>
  <si>
    <t>Ayodhya Division</t>
  </si>
  <si>
    <t>Barabanki Division</t>
  </si>
  <si>
    <t>Lucknow Division</t>
  </si>
  <si>
    <t>Lucknow GPO Division</t>
  </si>
  <si>
    <t>Rae Bareilly Division</t>
  </si>
  <si>
    <t>Sitapur Division</t>
  </si>
  <si>
    <t>Lucknow HQ Region Total</t>
  </si>
  <si>
    <t>Prayagraj Region</t>
  </si>
  <si>
    <t>Mirzapur Division</t>
  </si>
  <si>
    <t>Pratapgarh Division</t>
  </si>
  <si>
    <t>Prayagraj Division</t>
  </si>
  <si>
    <t>Sultanpur Division</t>
  </si>
  <si>
    <t>Prayagraj Region Total</t>
  </si>
  <si>
    <t>Varanasi Region</t>
  </si>
  <si>
    <t>Ballia Division</t>
  </si>
  <si>
    <t>Ghazipur Division</t>
  </si>
  <si>
    <t>Jaunpur Division</t>
  </si>
  <si>
    <t>Varanasi East Division</t>
  </si>
  <si>
    <t>Varanasi West Division</t>
  </si>
  <si>
    <t>Varanasi Region Total</t>
  </si>
  <si>
    <t>UP Circle</t>
  </si>
  <si>
    <t>UP Circle Total</t>
  </si>
  <si>
    <t xml:space="preserve">PERFORMANCE of UP CIRCLE in 05 operational parameters </t>
  </si>
  <si>
    <t>s.No</t>
  </si>
  <si>
    <t>Verticals</t>
  </si>
  <si>
    <t>Agra</t>
  </si>
  <si>
    <t>Bareilly</t>
  </si>
  <si>
    <t>CHQ</t>
  </si>
  <si>
    <t>Gorakhpur</t>
  </si>
  <si>
    <t>Kanpur</t>
  </si>
  <si>
    <t>Lucknow</t>
  </si>
  <si>
    <t>Prayagraj</t>
  </si>
  <si>
    <t>Varanasi</t>
  </si>
  <si>
    <t xml:space="preserve">Total of UP Circle </t>
  </si>
  <si>
    <t xml:space="preserve">% growth in mail traffic over corresponding month of last financial year (6)
</t>
  </si>
  <si>
    <t>%Growth in Parcel Traffic over corresponding month of last financial year (10)</t>
  </si>
  <si>
    <t>% Digital Transactions for CoD Parcels (for which payment through Digital Mode) (6)</t>
  </si>
  <si>
    <t>% growth in shipments booked for foreign destination over corresponding month of last financial year. (5)</t>
  </si>
  <si>
    <t>% growth in shipments booked on DNK portal over corresponding month of last financial year (5 )</t>
  </si>
  <si>
    <t>max - : 32 points</t>
  </si>
  <si>
    <t>% growth in mail traffic over corresponding month of last financial year (6)</t>
  </si>
  <si>
    <t>S/N</t>
  </si>
  <si>
    <t>Region</t>
  </si>
  <si>
    <t>Division</t>
  </si>
  <si>
    <t>Domestic Mails</t>
  </si>
  <si>
    <t>DNK shipments</t>
  </si>
  <si>
    <t>May 2026 (1-20)</t>
  </si>
  <si>
    <t>Growth</t>
  </si>
  <si>
    <t>Growth %</t>
  </si>
  <si>
    <t>Score</t>
  </si>
  <si>
    <t>May 2026 (1-22)</t>
  </si>
  <si>
    <t>Count</t>
  </si>
  <si>
    <t>in count</t>
  </si>
  <si>
    <t>in %</t>
  </si>
  <si>
    <t>out of 6</t>
  </si>
  <si>
    <t>out of 5</t>
  </si>
  <si>
    <t>RMS X Dn Jhansi Jhansi</t>
  </si>
  <si>
    <t>TOTAL</t>
  </si>
  <si>
    <t>RMS BL DIVISION</t>
  </si>
  <si>
    <t>RMS SH Dn Saharanpur</t>
  </si>
  <si>
    <t>RMS G Dn Gorakhpur</t>
  </si>
  <si>
    <t>RMS KP DN</t>
  </si>
  <si>
    <t>SSRM RMS O Dn Lucknow</t>
  </si>
  <si>
    <t>RMS A Dn</t>
  </si>
  <si>
    <t>UP Circle Total:</t>
  </si>
  <si>
    <t>Domestic Parcel</t>
  </si>
  <si>
    <t>out of 10</t>
  </si>
  <si>
    <t>Agra Region TOTAL</t>
  </si>
  <si>
    <t>CHQ Region TOTAL</t>
  </si>
  <si>
    <t xml:space="preserve">Weekly report of Digital COD Collection (Count) Summary Report ( Target = 50% Digital Transaction by the end of May 2026) </t>
  </si>
  <si>
    <t>Period -- &gt;&gt;</t>
  </si>
  <si>
    <t>01st to 07th May 2026</t>
  </si>
  <si>
    <t>08th to 14th May 2026</t>
  </si>
  <si>
    <t>15th to 20th May 2026</t>
  </si>
  <si>
    <t>May 2026 (overall)</t>
  </si>
  <si>
    <t>Score ( out of 6)</t>
  </si>
  <si>
    <t xml:space="preserve">Agra Region </t>
  </si>
  <si>
    <t xml:space="preserve">Gorakhpur Region </t>
  </si>
  <si>
    <t>Gorakhpur  Region Total</t>
  </si>
  <si>
    <t xml:space="preserve">Bareilly Region </t>
  </si>
  <si>
    <t xml:space="preserve">FINAL SCORE </t>
  </si>
  <si>
    <t>Max score - 6</t>
  </si>
  <si>
    <t xml:space="preserve">Score achieved -: </t>
  </si>
  <si>
    <t>International Mails</t>
  </si>
  <si>
    <t>Bareilly Region TOTAL</t>
  </si>
  <si>
    <t>Gorakhpur Region TOTAL</t>
  </si>
  <si>
    <t>Kanpur Region TOTAL</t>
  </si>
  <si>
    <t>Lucknow HQ Region TOTAL</t>
  </si>
  <si>
    <t>Prayagraj Region TOTAL</t>
  </si>
  <si>
    <t>Varanasi Region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</si>
</sst>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21">
    <font>
      <sz val="10"/>
      <color rgb="FF000000"/>
      <name val="Arial"/>
      <scheme val="minor"/>
    </font>
    <font>
      <sz val="11"/>
      <color rgb="FF000000"/>
      <name val="Calibri"/>
    </font>
    <font>
      <b/>
      <u/>
      <sz val="14"/>
      <color rgb="FF000000"/>
      <name val="Calibri"/>
    </font>
    <font>
      <b/>
      <u/>
      <sz val="14"/>
      <color rgb="FF000000"/>
      <name val="Calibri"/>
    </font>
    <font>
      <sz val="1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b/>
      <sz val="12"/>
      <color rgb="FF000000"/>
      <name val="Arial"/>
    </font>
    <font>
      <b/>
      <sz val="12"/>
      <color rgb="FF000000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rgb="FF000000"/>
      <name val="&quot;Times New Roman&quot;"/>
    </font>
    <font>
      <b/>
      <i/>
      <sz val="11"/>
      <color theme="1"/>
      <name val="Calibri"/>
    </font>
    <font>
      <i/>
      <sz val="11"/>
      <color theme="1"/>
      <name val="Calibri"/>
    </font>
    <font>
      <i/>
      <sz val="11"/>
      <color rgb="FF000000"/>
      <name val="Calibri"/>
    </font>
    <font>
      <b/>
      <i/>
      <sz val="11"/>
      <color rgb="FF000000"/>
      <name val="Calibri"/>
    </font>
    <font>
      <b/>
      <u/>
      <sz val="11"/>
      <color rgb="FF000000"/>
      <name val="&quot;Times New Roman&quot;"/>
    </font>
    <font>
      <b/>
      <u/>
      <sz val="14"/>
      <color rgb="FF000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0817E"/>
        <bgColor rgb="FFF0817E"/>
      </patternFill>
    </fill>
    <fill>
      <patternFill patternType="solid">
        <fgColor rgb="FF92D050"/>
        <bgColor rgb="FF92D050"/>
      </patternFill>
    </fill>
    <fill>
      <patternFill patternType="solid">
        <fgColor rgb="FFC5D9F1"/>
        <bgColor rgb="FFC5D9F1"/>
      </patternFill>
    </fill>
    <fill>
      <patternFill patternType="solid">
        <fgColor rgb="FFE6B8B7"/>
        <bgColor rgb="FFE6B8B7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D0CECE"/>
        <bgColor rgb="FFD0CECE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DA9694"/>
        <bgColor rgb="FFDA969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10" fontId="1" fillId="6" borderId="3" xfId="0" applyNumberFormat="1" applyFont="1" applyFill="1" applyBorder="1" applyAlignment="1">
      <alignment horizontal="center" wrapText="1"/>
    </xf>
    <xf numFmtId="10" fontId="1" fillId="7" borderId="3" xfId="0" applyNumberFormat="1" applyFont="1" applyFill="1" applyBorder="1" applyAlignment="1">
      <alignment horizontal="center" wrapText="1"/>
    </xf>
    <xf numFmtId="10" fontId="1" fillId="0" borderId="3" xfId="0" applyNumberFormat="1" applyFont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10" fontId="8" fillId="8" borderId="3" xfId="0" applyNumberFormat="1" applyFont="1" applyFill="1" applyBorder="1" applyAlignment="1">
      <alignment horizontal="center" wrapText="1"/>
    </xf>
    <xf numFmtId="0" fontId="6" fillId="4" borderId="6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 wrapText="1"/>
    </xf>
    <xf numFmtId="10" fontId="8" fillId="7" borderId="3" xfId="0" applyNumberFormat="1" applyFont="1" applyFill="1" applyBorder="1" applyAlignment="1">
      <alignment horizontal="center" wrapText="1"/>
    </xf>
    <xf numFmtId="0" fontId="6" fillId="4" borderId="7" xfId="0" applyFont="1" applyFill="1" applyBorder="1" applyAlignment="1">
      <alignment horizontal="center" wrapText="1"/>
    </xf>
    <xf numFmtId="10" fontId="8" fillId="6" borderId="3" xfId="0" applyNumberFormat="1" applyFont="1" applyFill="1" applyBorder="1" applyAlignment="1">
      <alignment horizontal="center" wrapText="1"/>
    </xf>
    <xf numFmtId="0" fontId="7" fillId="9" borderId="3" xfId="0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0" fontId="7" fillId="10" borderId="7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0" fontId="9" fillId="0" borderId="6" xfId="0" applyFont="1" applyBorder="1"/>
    <xf numFmtId="0" fontId="10" fillId="11" borderId="3" xfId="0" applyFont="1" applyFill="1" applyBorder="1" applyAlignment="1">
      <alignment horizontal="center" wrapText="1"/>
    </xf>
    <xf numFmtId="3" fontId="10" fillId="11" borderId="1" xfId="0" applyNumberFormat="1" applyFont="1" applyFill="1" applyBorder="1" applyAlignment="1">
      <alignment horizontal="center" wrapText="1"/>
    </xf>
    <xf numFmtId="9" fontId="11" fillId="8" borderId="3" xfId="0" applyNumberFormat="1" applyFont="1" applyFill="1" applyBorder="1" applyAlignment="1">
      <alignment horizontal="center" wrapText="1"/>
    </xf>
    <xf numFmtId="0" fontId="13" fillId="0" borderId="3" xfId="0" applyFont="1" applyBorder="1"/>
    <xf numFmtId="0" fontId="12" fillId="0" borderId="3" xfId="0" applyFont="1" applyBorder="1" applyAlignment="1">
      <alignment wrapText="1"/>
    </xf>
    <xf numFmtId="0" fontId="12" fillId="0" borderId="3" xfId="0" applyFont="1" applyBorder="1"/>
    <xf numFmtId="0" fontId="12" fillId="12" borderId="3" xfId="0" applyFont="1" applyFill="1" applyBorder="1"/>
    <xf numFmtId="0" fontId="12" fillId="0" borderId="3" xfId="0" applyFont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12" borderId="0" xfId="0" applyFont="1" applyFill="1"/>
    <xf numFmtId="0" fontId="8" fillId="14" borderId="0" xfId="0" applyFont="1" applyFill="1" applyAlignment="1">
      <alignment horizontal="center"/>
    </xf>
    <xf numFmtId="164" fontId="8" fillId="15" borderId="3" xfId="0" applyNumberFormat="1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/>
    </xf>
    <xf numFmtId="2" fontId="8" fillId="15" borderId="3" xfId="0" applyNumberFormat="1" applyFont="1" applyFill="1" applyBorder="1" applyAlignment="1">
      <alignment horizontal="center"/>
    </xf>
    <xf numFmtId="164" fontId="8" fillId="14" borderId="3" xfId="0" applyNumberFormat="1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2" fontId="8" fillId="14" borderId="3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wrapText="1"/>
    </xf>
    <xf numFmtId="0" fontId="16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2" fontId="17" fillId="0" borderId="3" xfId="0" applyNumberFormat="1" applyFont="1" applyBorder="1" applyAlignment="1">
      <alignment horizontal="center"/>
    </xf>
    <xf numFmtId="2" fontId="12" fillId="0" borderId="0" xfId="0" applyNumberFormat="1" applyFont="1"/>
    <xf numFmtId="0" fontId="8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 wrapText="1"/>
    </xf>
    <xf numFmtId="0" fontId="18" fillId="16" borderId="3" xfId="0" applyFont="1" applyFill="1" applyBorder="1" applyAlignment="1">
      <alignment horizontal="center"/>
    </xf>
    <xf numFmtId="2" fontId="18" fillId="16" borderId="3" xfId="0" applyNumberFormat="1" applyFont="1" applyFill="1" applyBorder="1" applyAlignment="1">
      <alignment horizontal="center"/>
    </xf>
    <xf numFmtId="0" fontId="9" fillId="16" borderId="0" xfId="0" applyFont="1" applyFill="1"/>
    <xf numFmtId="2" fontId="9" fillId="16" borderId="0" xfId="0" applyNumberFormat="1" applyFont="1" applyFill="1"/>
    <xf numFmtId="0" fontId="8" fillId="17" borderId="3" xfId="0" applyFont="1" applyFill="1" applyBorder="1" applyAlignment="1">
      <alignment horizontal="center"/>
    </xf>
    <xf numFmtId="0" fontId="8" fillId="17" borderId="3" xfId="0" applyFont="1" applyFill="1" applyBorder="1" applyAlignment="1">
      <alignment horizontal="center" wrapText="1"/>
    </xf>
    <xf numFmtId="0" fontId="18" fillId="17" borderId="3" xfId="0" applyFont="1" applyFill="1" applyBorder="1" applyAlignment="1">
      <alignment horizontal="center"/>
    </xf>
    <xf numFmtId="2" fontId="18" fillId="17" borderId="3" xfId="0" applyNumberFormat="1" applyFont="1" applyFill="1" applyBorder="1" applyAlignment="1">
      <alignment horizontal="center"/>
    </xf>
    <xf numFmtId="0" fontId="9" fillId="17" borderId="0" xfId="0" applyFont="1" applyFill="1"/>
    <xf numFmtId="0" fontId="9" fillId="16" borderId="0" xfId="0" applyFont="1" applyFill="1" applyAlignment="1">
      <alignment wrapText="1"/>
    </xf>
    <xf numFmtId="2" fontId="17" fillId="16" borderId="3" xfId="0" applyNumberFormat="1" applyFont="1" applyFill="1" applyBorder="1" applyAlignment="1">
      <alignment horizontal="center"/>
    </xf>
    <xf numFmtId="0" fontId="15" fillId="0" borderId="3" xfId="0" applyFont="1" applyBorder="1" applyAlignment="1">
      <alignment horizontal="center" vertical="center" wrapText="1"/>
    </xf>
    <xf numFmtId="0" fontId="8" fillId="16" borderId="3" xfId="0" applyFont="1" applyFill="1" applyBorder="1" applyAlignment="1">
      <alignment wrapText="1"/>
    </xf>
    <xf numFmtId="0" fontId="12" fillId="0" borderId="0" xfId="0" applyFont="1" applyAlignment="1">
      <alignment vertical="center" wrapText="1"/>
    </xf>
    <xf numFmtId="164" fontId="8" fillId="18" borderId="3" xfId="0" applyNumberFormat="1" applyFont="1" applyFill="1" applyBorder="1" applyAlignment="1">
      <alignment horizontal="center"/>
    </xf>
    <xf numFmtId="0" fontId="8" fillId="18" borderId="3" xfId="0" applyFont="1" applyFill="1" applyBorder="1" applyAlignment="1">
      <alignment horizontal="center"/>
    </xf>
    <xf numFmtId="2" fontId="8" fillId="18" borderId="3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5" fillId="3" borderId="5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left" wrapText="1"/>
    </xf>
    <xf numFmtId="2" fontId="12" fillId="0" borderId="3" xfId="0" applyNumberFormat="1" applyFont="1" applyBorder="1" applyAlignment="1">
      <alignment horizontal="center"/>
    </xf>
    <xf numFmtId="10" fontId="1" fillId="19" borderId="3" xfId="0" applyNumberFormat="1" applyFont="1" applyFill="1" applyBorder="1" applyAlignment="1">
      <alignment horizontal="center" wrapText="1"/>
    </xf>
    <xf numFmtId="0" fontId="8" fillId="8" borderId="3" xfId="0" applyFont="1" applyFill="1" applyBorder="1" applyAlignment="1">
      <alignment horizontal="left" wrapText="1"/>
    </xf>
    <xf numFmtId="2" fontId="8" fillId="8" borderId="3" xfId="0" applyNumberFormat="1" applyFont="1" applyFill="1" applyBorder="1" applyAlignment="1">
      <alignment horizontal="center" wrapText="1"/>
    </xf>
    <xf numFmtId="0" fontId="8" fillId="4" borderId="3" xfId="0" applyFont="1" applyFill="1" applyBorder="1" applyAlignment="1">
      <alignment horizontal="left" wrapText="1"/>
    </xf>
    <xf numFmtId="10" fontId="8" fillId="19" borderId="3" xfId="0" applyNumberFormat="1" applyFont="1" applyFill="1" applyBorder="1" applyAlignment="1">
      <alignment horizontal="center" wrapText="1"/>
    </xf>
    <xf numFmtId="0" fontId="7" fillId="9" borderId="3" xfId="0" applyFont="1" applyFill="1" applyBorder="1" applyAlignment="1">
      <alignment horizontal="left" wrapText="1"/>
    </xf>
    <xf numFmtId="0" fontId="7" fillId="10" borderId="3" xfId="0" applyFont="1" applyFill="1" applyBorder="1" applyAlignment="1">
      <alignment horizontal="left" wrapText="1"/>
    </xf>
    <xf numFmtId="0" fontId="11" fillId="11" borderId="3" xfId="0" applyFont="1" applyFill="1" applyBorder="1" applyAlignment="1">
      <alignment horizontal="left" wrapText="1"/>
    </xf>
    <xf numFmtId="0" fontId="10" fillId="11" borderId="3" xfId="0" applyFont="1" applyFill="1" applyBorder="1" applyAlignment="1">
      <alignment horizontal="left" wrapText="1"/>
    </xf>
    <xf numFmtId="0" fontId="12" fillId="0" borderId="0" xfId="0" applyFont="1"/>
    <xf numFmtId="0" fontId="1" fillId="0" borderId="0" xfId="0" applyFont="1" applyAlignment="1">
      <alignment horizontal="center" wrapText="1"/>
    </xf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0" fontId="5" fillId="2" borderId="2" xfId="0" applyFont="1" applyFill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8" fillId="13" borderId="0" xfId="0" applyFont="1" applyFill="1" applyAlignment="1">
      <alignment horizontal="center"/>
    </xf>
    <xf numFmtId="0" fontId="8" fillId="13" borderId="6" xfId="0" applyFont="1" applyFill="1" applyBorder="1" applyAlignment="1">
      <alignment horizontal="center"/>
    </xf>
    <xf numFmtId="0" fontId="4" fillId="0" borderId="5" xfId="0" applyFont="1" applyBorder="1"/>
    <xf numFmtId="0" fontId="4" fillId="0" borderId="10" xfId="0" applyFont="1" applyBorder="1"/>
    <xf numFmtId="0" fontId="8" fillId="13" borderId="6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wrapText="1"/>
    </xf>
    <xf numFmtId="0" fontId="8" fillId="15" borderId="8" xfId="0" applyFont="1" applyFill="1" applyBorder="1" applyAlignment="1">
      <alignment horizontal="center"/>
    </xf>
    <xf numFmtId="0" fontId="4" fillId="0" borderId="7" xfId="0" applyFont="1" applyBorder="1"/>
    <xf numFmtId="0" fontId="4" fillId="0" borderId="9" xfId="0" applyFont="1" applyBorder="1"/>
    <xf numFmtId="0" fontId="8" fillId="14" borderId="8" xfId="0" applyFont="1" applyFill="1" applyBorder="1" applyAlignment="1">
      <alignment horizontal="center"/>
    </xf>
    <xf numFmtId="0" fontId="8" fillId="18" borderId="8" xfId="0" applyFont="1" applyFill="1" applyBorder="1" applyAlignment="1">
      <alignment horizontal="center"/>
    </xf>
    <xf numFmtId="0" fontId="19" fillId="0" borderId="8" xfId="0" applyFont="1" applyBorder="1" applyAlignment="1">
      <alignment wrapText="1"/>
    </xf>
    <xf numFmtId="0" fontId="20" fillId="0" borderId="0" xfId="0" applyFont="1" applyAlignment="1">
      <alignment wrapText="1"/>
    </xf>
    <xf numFmtId="0" fontId="5" fillId="3" borderId="8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3"/>
  <sheetViews>
    <sheetView workbookViewId="0">
      <selection sqref="A1:F1"/>
    </sheetView>
  </sheetViews>
  <sheetFormatPr defaultColWidth="12.6640625" defaultRowHeight="15.75" customHeight="1"/>
  <cols>
    <col min="4" max="4" width="15.6640625" customWidth="1"/>
  </cols>
  <sheetData>
    <row r="1" spans="1:7" ht="15.75" customHeight="1">
      <c r="A1" s="86" t="s">
        <v>0</v>
      </c>
      <c r="B1" s="87"/>
      <c r="C1" s="87"/>
      <c r="D1" s="87"/>
      <c r="E1" s="87"/>
      <c r="F1" s="87"/>
    </row>
    <row r="2" spans="1:7" ht="15.75" customHeight="1">
      <c r="A2" s="1"/>
      <c r="B2" s="88" t="s">
        <v>1</v>
      </c>
      <c r="C2" s="87"/>
      <c r="D2" s="87"/>
      <c r="E2" s="87"/>
      <c r="F2" s="87"/>
    </row>
    <row r="3" spans="1:7" ht="15.75" customHeight="1">
      <c r="A3" s="89" t="s">
        <v>2</v>
      </c>
      <c r="B3" s="90"/>
      <c r="C3" s="90"/>
      <c r="D3" s="90"/>
      <c r="E3" s="90"/>
      <c r="F3" s="90"/>
      <c r="G3" s="90"/>
    </row>
    <row r="4" spans="1:7">
      <c r="A4" s="91" t="s">
        <v>3</v>
      </c>
      <c r="B4" s="87"/>
      <c r="C4" s="87"/>
      <c r="D4" s="87"/>
      <c r="E4" s="87"/>
    </row>
    <row r="5" spans="1:7">
      <c r="A5" s="2" t="s">
        <v>4</v>
      </c>
      <c r="B5" s="2" t="s">
        <v>5</v>
      </c>
      <c r="C5" s="2" t="s">
        <v>6</v>
      </c>
      <c r="D5" s="2" t="s">
        <v>7</v>
      </c>
      <c r="E5" s="3" t="s">
        <v>8</v>
      </c>
    </row>
    <row r="6" spans="1:7" ht="15.75" customHeight="1">
      <c r="A6" s="4" t="s">
        <v>9</v>
      </c>
      <c r="B6" s="5" t="s">
        <v>10</v>
      </c>
      <c r="C6" s="5">
        <v>7</v>
      </c>
      <c r="D6" s="6">
        <v>32</v>
      </c>
      <c r="E6" s="7">
        <v>0.21879999999999999</v>
      </c>
    </row>
    <row r="7" spans="1:7" ht="15.75" customHeight="1">
      <c r="A7" s="4" t="s">
        <v>9</v>
      </c>
      <c r="B7" s="5" t="s">
        <v>11</v>
      </c>
      <c r="C7" s="5">
        <v>16</v>
      </c>
      <c r="D7" s="6">
        <v>29</v>
      </c>
      <c r="E7" s="8">
        <v>0.55169999999999997</v>
      </c>
    </row>
    <row r="8" spans="1:7" ht="15.75" customHeight="1">
      <c r="A8" s="4" t="s">
        <v>9</v>
      </c>
      <c r="B8" s="5" t="s">
        <v>12</v>
      </c>
      <c r="C8" s="5">
        <v>19</v>
      </c>
      <c r="D8" s="6">
        <v>45</v>
      </c>
      <c r="E8" s="9">
        <v>0.42220000000000002</v>
      </c>
    </row>
    <row r="9" spans="1:7" ht="15.75" customHeight="1">
      <c r="A9" s="4" t="s">
        <v>9</v>
      </c>
      <c r="B9" s="5" t="s">
        <v>13</v>
      </c>
      <c r="C9" s="5">
        <v>15</v>
      </c>
      <c r="D9" s="6">
        <v>19</v>
      </c>
      <c r="E9" s="8">
        <v>0.78949999999999998</v>
      </c>
    </row>
    <row r="10" spans="1:7" ht="15.75" customHeight="1">
      <c r="A10" s="4" t="s">
        <v>9</v>
      </c>
      <c r="B10" s="5" t="s">
        <v>14</v>
      </c>
      <c r="C10" s="5">
        <v>6</v>
      </c>
      <c r="D10" s="6">
        <v>7</v>
      </c>
      <c r="E10" s="8">
        <v>0.85709999999999997</v>
      </c>
    </row>
    <row r="11" spans="1:7" ht="15.75" customHeight="1">
      <c r="A11" s="4" t="s">
        <v>9</v>
      </c>
      <c r="B11" s="5" t="s">
        <v>15</v>
      </c>
      <c r="C11" s="5">
        <v>25</v>
      </c>
      <c r="D11" s="6">
        <v>47</v>
      </c>
      <c r="E11" s="8">
        <v>0.53190000000000004</v>
      </c>
    </row>
    <row r="12" spans="1:7" ht="15.75" customHeight="1">
      <c r="A12" s="4" t="s">
        <v>9</v>
      </c>
      <c r="B12" s="5" t="s">
        <v>16</v>
      </c>
      <c r="C12" s="5">
        <v>5</v>
      </c>
      <c r="D12" s="6">
        <v>19</v>
      </c>
      <c r="E12" s="7">
        <v>0.26319999999999999</v>
      </c>
    </row>
    <row r="13" spans="1:7" ht="15.75" customHeight="1">
      <c r="A13" s="4" t="s">
        <v>9</v>
      </c>
      <c r="B13" s="5" t="s">
        <v>17</v>
      </c>
      <c r="C13" s="5">
        <v>17</v>
      </c>
      <c r="D13" s="6">
        <v>36</v>
      </c>
      <c r="E13" s="9">
        <v>0.47220000000000001</v>
      </c>
    </row>
    <row r="14" spans="1:7" ht="15.75" customHeight="1">
      <c r="A14" s="4" t="s">
        <v>9</v>
      </c>
      <c r="B14" s="10" t="s">
        <v>18</v>
      </c>
      <c r="C14" s="11">
        <v>110</v>
      </c>
      <c r="D14" s="12">
        <v>234</v>
      </c>
      <c r="E14" s="13">
        <v>0.47010000000000002</v>
      </c>
    </row>
    <row r="15" spans="1:7" ht="15.75" customHeight="1">
      <c r="A15" s="14" t="s">
        <v>19</v>
      </c>
      <c r="B15" s="5" t="s">
        <v>20</v>
      </c>
      <c r="C15" s="5">
        <v>37</v>
      </c>
      <c r="D15" s="15">
        <v>48</v>
      </c>
      <c r="E15" s="8">
        <v>0.77080000000000004</v>
      </c>
    </row>
    <row r="16" spans="1:7" ht="15.75" customHeight="1">
      <c r="A16" s="14" t="s">
        <v>19</v>
      </c>
      <c r="B16" s="5" t="s">
        <v>21</v>
      </c>
      <c r="C16" s="5">
        <v>32</v>
      </c>
      <c r="D16" s="6">
        <v>52</v>
      </c>
      <c r="E16" s="8">
        <v>0.61539999999999995</v>
      </c>
    </row>
    <row r="17" spans="1:5" ht="15.75" customHeight="1">
      <c r="A17" s="14" t="s">
        <v>19</v>
      </c>
      <c r="B17" s="5" t="s">
        <v>22</v>
      </c>
      <c r="C17" s="5">
        <v>35</v>
      </c>
      <c r="D17" s="6">
        <v>50</v>
      </c>
      <c r="E17" s="8">
        <v>0.7</v>
      </c>
    </row>
    <row r="18" spans="1:5" ht="15.75" customHeight="1">
      <c r="A18" s="14" t="s">
        <v>19</v>
      </c>
      <c r="B18" s="5" t="s">
        <v>23</v>
      </c>
      <c r="C18" s="5">
        <v>22</v>
      </c>
      <c r="D18" s="6">
        <v>31</v>
      </c>
      <c r="E18" s="8">
        <v>0.7097</v>
      </c>
    </row>
    <row r="19" spans="1:5" ht="15.75" customHeight="1">
      <c r="A19" s="14" t="s">
        <v>19</v>
      </c>
      <c r="B19" s="5" t="s">
        <v>24</v>
      </c>
      <c r="C19" s="5">
        <v>13</v>
      </c>
      <c r="D19" s="6">
        <v>23</v>
      </c>
      <c r="E19" s="8">
        <v>0.56520000000000004</v>
      </c>
    </row>
    <row r="20" spans="1:5" ht="15.75" customHeight="1">
      <c r="A20" s="14" t="s">
        <v>19</v>
      </c>
      <c r="B20" s="5" t="s">
        <v>25</v>
      </c>
      <c r="C20" s="5">
        <v>33</v>
      </c>
      <c r="D20" s="6">
        <v>37</v>
      </c>
      <c r="E20" s="8">
        <v>0.89190000000000003</v>
      </c>
    </row>
    <row r="21" spans="1:5" ht="15.75" customHeight="1">
      <c r="A21" s="14" t="s">
        <v>19</v>
      </c>
      <c r="B21" s="5" t="s">
        <v>26</v>
      </c>
      <c r="C21" s="5">
        <v>57</v>
      </c>
      <c r="D21" s="6">
        <v>61</v>
      </c>
      <c r="E21" s="8">
        <v>0.93440000000000001</v>
      </c>
    </row>
    <row r="22" spans="1:5" ht="15.75" customHeight="1">
      <c r="A22" s="14" t="s">
        <v>19</v>
      </c>
      <c r="B22" s="5" t="s">
        <v>27</v>
      </c>
      <c r="C22" s="5">
        <v>51</v>
      </c>
      <c r="D22" s="15">
        <v>61</v>
      </c>
      <c r="E22" s="8">
        <v>0.83609999999999995</v>
      </c>
    </row>
    <row r="23" spans="1:5" ht="15.75" customHeight="1">
      <c r="A23" s="14" t="s">
        <v>19</v>
      </c>
      <c r="B23" s="5" t="s">
        <v>28</v>
      </c>
      <c r="C23" s="5">
        <v>15</v>
      </c>
      <c r="D23" s="6">
        <v>21</v>
      </c>
      <c r="E23" s="8">
        <v>0.71430000000000005</v>
      </c>
    </row>
    <row r="24" spans="1:5" ht="15.75" customHeight="1">
      <c r="A24" s="14" t="s">
        <v>19</v>
      </c>
      <c r="B24" s="5" t="s">
        <v>29</v>
      </c>
      <c r="C24" s="5">
        <v>33</v>
      </c>
      <c r="D24" s="6">
        <v>59</v>
      </c>
      <c r="E24" s="8">
        <v>0.55930000000000002</v>
      </c>
    </row>
    <row r="25" spans="1:5" ht="28.2">
      <c r="A25" s="14" t="s">
        <v>19</v>
      </c>
      <c r="B25" s="5" t="s">
        <v>30</v>
      </c>
      <c r="C25" s="5">
        <v>18</v>
      </c>
      <c r="D25" s="6">
        <v>21</v>
      </c>
      <c r="E25" s="8">
        <v>0.85709999999999997</v>
      </c>
    </row>
    <row r="26" spans="1:5" ht="28.8">
      <c r="A26" s="14" t="s">
        <v>19</v>
      </c>
      <c r="B26" s="10" t="s">
        <v>31</v>
      </c>
      <c r="C26" s="11">
        <v>346</v>
      </c>
      <c r="D26" s="12">
        <v>464</v>
      </c>
      <c r="E26" s="16">
        <v>0.74570000000000003</v>
      </c>
    </row>
    <row r="27" spans="1:5" ht="69.599999999999994">
      <c r="A27" s="14" t="s">
        <v>32</v>
      </c>
      <c r="B27" s="5" t="s">
        <v>33</v>
      </c>
      <c r="C27" s="5">
        <v>1</v>
      </c>
      <c r="D27" s="6">
        <v>50</v>
      </c>
      <c r="E27" s="7">
        <v>0.02</v>
      </c>
    </row>
    <row r="28" spans="1:5" ht="28.2">
      <c r="A28" s="14" t="s">
        <v>32</v>
      </c>
      <c r="B28" s="5" t="s">
        <v>34</v>
      </c>
      <c r="C28" s="5">
        <v>15</v>
      </c>
      <c r="D28" s="6">
        <v>69</v>
      </c>
      <c r="E28" s="7">
        <v>0.21740000000000001</v>
      </c>
    </row>
    <row r="29" spans="1:5" ht="28.8">
      <c r="A29" s="14" t="s">
        <v>32</v>
      </c>
      <c r="B29" s="10" t="s">
        <v>35</v>
      </c>
      <c r="C29" s="11">
        <v>16</v>
      </c>
      <c r="D29" s="17">
        <v>119</v>
      </c>
      <c r="E29" s="18">
        <v>0.13450000000000001</v>
      </c>
    </row>
    <row r="30" spans="1:5" ht="28.2">
      <c r="A30" s="14" t="s">
        <v>36</v>
      </c>
      <c r="B30" s="5" t="s">
        <v>37</v>
      </c>
      <c r="C30" s="5">
        <v>4</v>
      </c>
      <c r="D30" s="6">
        <v>35</v>
      </c>
      <c r="E30" s="7">
        <v>0.1143</v>
      </c>
    </row>
    <row r="31" spans="1:5" ht="28.2">
      <c r="A31" s="14" t="s">
        <v>36</v>
      </c>
      <c r="B31" s="5" t="s">
        <v>38</v>
      </c>
      <c r="C31" s="5">
        <v>12</v>
      </c>
      <c r="D31" s="6">
        <v>53</v>
      </c>
      <c r="E31" s="7">
        <v>0.22639999999999999</v>
      </c>
    </row>
    <row r="32" spans="1:5" ht="28.2">
      <c r="A32" s="14" t="s">
        <v>36</v>
      </c>
      <c r="B32" s="19" t="s">
        <v>39</v>
      </c>
      <c r="C32" s="5">
        <v>0</v>
      </c>
      <c r="D32" s="6">
        <v>42</v>
      </c>
      <c r="E32" s="7">
        <v>0</v>
      </c>
    </row>
    <row r="33" spans="1:5" ht="28.2">
      <c r="A33" s="14" t="s">
        <v>36</v>
      </c>
      <c r="B33" s="5" t="s">
        <v>40</v>
      </c>
      <c r="C33" s="5">
        <v>2</v>
      </c>
      <c r="D33" s="6">
        <v>32</v>
      </c>
      <c r="E33" s="7">
        <v>6.25E-2</v>
      </c>
    </row>
    <row r="34" spans="1:5" ht="28.2">
      <c r="A34" s="14" t="s">
        <v>36</v>
      </c>
      <c r="B34" s="5" t="s">
        <v>41</v>
      </c>
      <c r="C34" s="5">
        <v>2</v>
      </c>
      <c r="D34" s="6">
        <v>52</v>
      </c>
      <c r="E34" s="7">
        <v>3.85E-2</v>
      </c>
    </row>
    <row r="35" spans="1:5" ht="28.2">
      <c r="A35" s="14" t="s">
        <v>36</v>
      </c>
      <c r="B35" s="19" t="s">
        <v>42</v>
      </c>
      <c r="C35" s="5">
        <v>1</v>
      </c>
      <c r="D35" s="6">
        <v>38</v>
      </c>
      <c r="E35" s="7">
        <v>2.63E-2</v>
      </c>
    </row>
    <row r="36" spans="1:5" ht="28.8">
      <c r="A36" s="14" t="s">
        <v>36</v>
      </c>
      <c r="B36" s="10" t="s">
        <v>43</v>
      </c>
      <c r="C36" s="11">
        <v>21</v>
      </c>
      <c r="D36" s="12">
        <v>252</v>
      </c>
      <c r="E36" s="18">
        <v>8.3299999999999999E-2</v>
      </c>
    </row>
    <row r="37" spans="1:5" ht="28.2">
      <c r="A37" s="14" t="s">
        <v>44</v>
      </c>
      <c r="B37" s="5" t="s">
        <v>45</v>
      </c>
      <c r="C37" s="5">
        <v>0</v>
      </c>
      <c r="D37" s="6">
        <v>18</v>
      </c>
      <c r="E37" s="7">
        <v>0</v>
      </c>
    </row>
    <row r="38" spans="1:5" ht="28.2">
      <c r="A38" s="14" t="s">
        <v>44</v>
      </c>
      <c r="B38" s="5" t="s">
        <v>46</v>
      </c>
      <c r="C38" s="5">
        <v>7</v>
      </c>
      <c r="D38" s="6">
        <v>23</v>
      </c>
      <c r="E38" s="7">
        <v>0.30430000000000001</v>
      </c>
    </row>
    <row r="39" spans="1:5" ht="28.2">
      <c r="A39" s="14" t="s">
        <v>44</v>
      </c>
      <c r="B39" s="5" t="s">
        <v>47</v>
      </c>
      <c r="C39" s="5">
        <v>3</v>
      </c>
      <c r="D39" s="6">
        <v>19</v>
      </c>
      <c r="E39" s="7">
        <v>0.15790000000000001</v>
      </c>
    </row>
    <row r="40" spans="1:5" ht="28.2">
      <c r="A40" s="14" t="s">
        <v>44</v>
      </c>
      <c r="B40" s="5" t="s">
        <v>48</v>
      </c>
      <c r="C40" s="5">
        <v>2</v>
      </c>
      <c r="D40" s="6">
        <v>5</v>
      </c>
      <c r="E40" s="9">
        <v>0.4</v>
      </c>
    </row>
    <row r="41" spans="1:5" ht="28.2">
      <c r="A41" s="14" t="s">
        <v>44</v>
      </c>
      <c r="B41" s="5" t="s">
        <v>49</v>
      </c>
      <c r="C41" s="5">
        <v>4</v>
      </c>
      <c r="D41" s="15">
        <v>4</v>
      </c>
      <c r="E41" s="8">
        <v>1</v>
      </c>
    </row>
    <row r="42" spans="1:5" ht="42">
      <c r="A42" s="14" t="s">
        <v>44</v>
      </c>
      <c r="B42" s="5" t="s">
        <v>50</v>
      </c>
      <c r="C42" s="5">
        <v>5</v>
      </c>
      <c r="D42" s="6">
        <v>28</v>
      </c>
      <c r="E42" s="7">
        <v>0.17860000000000001</v>
      </c>
    </row>
    <row r="43" spans="1:5" ht="28.8">
      <c r="A43" s="14" t="s">
        <v>44</v>
      </c>
      <c r="B43" s="10" t="s">
        <v>51</v>
      </c>
      <c r="C43" s="11">
        <v>21</v>
      </c>
      <c r="D43" s="12">
        <v>97</v>
      </c>
      <c r="E43" s="18">
        <v>0.2165</v>
      </c>
    </row>
    <row r="44" spans="1:5" ht="28.2">
      <c r="A44" s="14" t="s">
        <v>52</v>
      </c>
      <c r="B44" s="5" t="s">
        <v>53</v>
      </c>
      <c r="C44" s="5">
        <v>18</v>
      </c>
      <c r="D44" s="6">
        <v>24</v>
      </c>
      <c r="E44" s="8">
        <v>0.75</v>
      </c>
    </row>
    <row r="45" spans="1:5" ht="28.2">
      <c r="A45" s="14" t="s">
        <v>52</v>
      </c>
      <c r="B45" s="5" t="s">
        <v>54</v>
      </c>
      <c r="C45" s="5">
        <v>4</v>
      </c>
      <c r="D45" s="6">
        <v>13</v>
      </c>
      <c r="E45" s="7">
        <v>0.30769999999999997</v>
      </c>
    </row>
    <row r="46" spans="1:5" ht="28.2">
      <c r="A46" s="14" t="s">
        <v>52</v>
      </c>
      <c r="B46" s="5" t="s">
        <v>55</v>
      </c>
      <c r="C46" s="5">
        <v>6</v>
      </c>
      <c r="D46" s="6">
        <v>23</v>
      </c>
      <c r="E46" s="7">
        <v>0.26090000000000002</v>
      </c>
    </row>
    <row r="47" spans="1:5" ht="42">
      <c r="A47" s="14" t="s">
        <v>52</v>
      </c>
      <c r="B47" s="5" t="s">
        <v>56</v>
      </c>
      <c r="C47" s="5">
        <v>11</v>
      </c>
      <c r="D47" s="6">
        <v>18</v>
      </c>
      <c r="E47" s="8">
        <v>0.61109999999999998</v>
      </c>
    </row>
    <row r="48" spans="1:5" ht="28.2">
      <c r="A48" s="14" t="s">
        <v>52</v>
      </c>
      <c r="B48" s="5" t="s">
        <v>57</v>
      </c>
      <c r="C48" s="5">
        <v>5</v>
      </c>
      <c r="D48" s="15">
        <v>18</v>
      </c>
      <c r="E48" s="7">
        <v>0.27779999999999999</v>
      </c>
    </row>
    <row r="49" spans="1:5" ht="28.2">
      <c r="A49" s="14" t="s">
        <v>52</v>
      </c>
      <c r="B49" s="5" t="s">
        <v>58</v>
      </c>
      <c r="C49" s="5">
        <v>4</v>
      </c>
      <c r="D49" s="6">
        <v>14</v>
      </c>
      <c r="E49" s="7">
        <v>0.28570000000000001</v>
      </c>
    </row>
    <row r="50" spans="1:5" ht="28.8">
      <c r="A50" s="14" t="s">
        <v>52</v>
      </c>
      <c r="B50" s="10" t="s">
        <v>59</v>
      </c>
      <c r="C50" s="11">
        <v>48</v>
      </c>
      <c r="D50" s="12">
        <v>110</v>
      </c>
      <c r="E50" s="13">
        <v>0.43640000000000001</v>
      </c>
    </row>
    <row r="51" spans="1:5" ht="28.2">
      <c r="A51" s="14" t="s">
        <v>60</v>
      </c>
      <c r="B51" s="20" t="s">
        <v>61</v>
      </c>
      <c r="C51" s="20">
        <v>10</v>
      </c>
      <c r="D51" s="21">
        <v>42</v>
      </c>
      <c r="E51" s="7">
        <v>0.23810000000000001</v>
      </c>
    </row>
    <row r="52" spans="1:5" ht="28.2">
      <c r="A52" s="14" t="s">
        <v>60</v>
      </c>
      <c r="B52" s="5" t="s">
        <v>62</v>
      </c>
      <c r="C52" s="5">
        <v>3</v>
      </c>
      <c r="D52" s="6">
        <v>24</v>
      </c>
      <c r="E52" s="7">
        <v>0.125</v>
      </c>
    </row>
    <row r="53" spans="1:5" ht="28.2">
      <c r="A53" s="14" t="s">
        <v>60</v>
      </c>
      <c r="B53" s="20" t="s">
        <v>63</v>
      </c>
      <c r="C53" s="20">
        <v>14</v>
      </c>
      <c r="D53" s="22">
        <v>65</v>
      </c>
      <c r="E53" s="7">
        <v>0.21540000000000001</v>
      </c>
    </row>
    <row r="54" spans="1:5" ht="28.2">
      <c r="A54" s="14" t="s">
        <v>60</v>
      </c>
      <c r="B54" s="5" t="s">
        <v>64</v>
      </c>
      <c r="C54" s="5">
        <v>2</v>
      </c>
      <c r="D54" s="6">
        <v>19</v>
      </c>
      <c r="E54" s="7">
        <v>0.1053</v>
      </c>
    </row>
    <row r="55" spans="1:5" ht="28.8">
      <c r="A55" s="14" t="s">
        <v>60</v>
      </c>
      <c r="B55" s="10" t="s">
        <v>65</v>
      </c>
      <c r="C55" s="11">
        <v>29</v>
      </c>
      <c r="D55" s="12">
        <v>150</v>
      </c>
      <c r="E55" s="18">
        <v>0.1933</v>
      </c>
    </row>
    <row r="56" spans="1:5" ht="28.2">
      <c r="A56" s="14" t="s">
        <v>66</v>
      </c>
      <c r="B56" s="5" t="s">
        <v>67</v>
      </c>
      <c r="C56" s="5">
        <v>9</v>
      </c>
      <c r="D56" s="15">
        <v>36</v>
      </c>
      <c r="E56" s="7">
        <v>0.25</v>
      </c>
    </row>
    <row r="57" spans="1:5" ht="28.2">
      <c r="A57" s="14" t="s">
        <v>66</v>
      </c>
      <c r="B57" s="5" t="s">
        <v>68</v>
      </c>
      <c r="C57" s="5">
        <v>3</v>
      </c>
      <c r="D57" s="6">
        <v>13</v>
      </c>
      <c r="E57" s="7">
        <v>0.23080000000000001</v>
      </c>
    </row>
    <row r="58" spans="1:5" ht="28.2">
      <c r="A58" s="14" t="s">
        <v>66</v>
      </c>
      <c r="B58" s="5" t="s">
        <v>69</v>
      </c>
      <c r="C58" s="5">
        <v>5</v>
      </c>
      <c r="D58" s="6">
        <v>19</v>
      </c>
      <c r="E58" s="7">
        <v>0.26319999999999999</v>
      </c>
    </row>
    <row r="59" spans="1:5" ht="28.2">
      <c r="A59" s="14" t="s">
        <v>66</v>
      </c>
      <c r="B59" s="5" t="s">
        <v>70</v>
      </c>
      <c r="C59" s="5">
        <v>7</v>
      </c>
      <c r="D59" s="6">
        <v>19</v>
      </c>
      <c r="E59" s="7">
        <v>0.36840000000000001</v>
      </c>
    </row>
    <row r="60" spans="1:5" ht="42">
      <c r="A60" s="14" t="s">
        <v>66</v>
      </c>
      <c r="B60" s="5" t="s">
        <v>71</v>
      </c>
      <c r="C60" s="5">
        <v>9</v>
      </c>
      <c r="D60" s="6">
        <v>21</v>
      </c>
      <c r="E60" s="9">
        <v>0.42859999999999998</v>
      </c>
    </row>
    <row r="61" spans="1:5" ht="28.8">
      <c r="A61" s="23" t="s">
        <v>66</v>
      </c>
      <c r="B61" s="10" t="s">
        <v>72</v>
      </c>
      <c r="C61" s="11">
        <v>33</v>
      </c>
      <c r="D61" s="17">
        <v>108</v>
      </c>
      <c r="E61" s="18">
        <v>0.30559999999999998</v>
      </c>
    </row>
    <row r="62" spans="1:5" ht="31.2">
      <c r="A62" s="24" t="s">
        <v>73</v>
      </c>
      <c r="B62" s="25" t="s">
        <v>74</v>
      </c>
      <c r="C62" s="26">
        <f t="shared" ref="C62:D62" si="0">C61+C55+C50+C43+C29+C26+C14</f>
        <v>603</v>
      </c>
      <c r="D62" s="26">
        <f t="shared" si="0"/>
        <v>1282</v>
      </c>
      <c r="E62" s="27">
        <f>C62/D62</f>
        <v>0.47035881435257409</v>
      </c>
    </row>
    <row r="63" spans="1:5" ht="14.4">
      <c r="A63" s="1"/>
      <c r="B63" s="1"/>
      <c r="C63" s="1"/>
      <c r="D63" s="1"/>
      <c r="E63" s="1"/>
    </row>
  </sheetData>
  <mergeCells count="4">
    <mergeCell ref="A1:F1"/>
    <mergeCell ref="B2:F2"/>
    <mergeCell ref="A3:G3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99"/>
  <sheetViews>
    <sheetView workbookViewId="0">
      <selection sqref="A1:K1"/>
    </sheetView>
  </sheetViews>
  <sheetFormatPr defaultColWidth="12.6640625" defaultRowHeight="15.75" customHeight="1"/>
  <cols>
    <col min="1" max="1" width="4.33203125" customWidth="1"/>
    <col min="11" max="11" width="15.33203125" customWidth="1"/>
  </cols>
  <sheetData>
    <row r="1" spans="1:11">
      <c r="A1" s="92" t="s">
        <v>75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>
      <c r="A2" s="28" t="s">
        <v>76</v>
      </c>
      <c r="B2" s="29" t="s">
        <v>77</v>
      </c>
      <c r="C2" s="30" t="s">
        <v>78</v>
      </c>
      <c r="D2" s="30" t="s">
        <v>79</v>
      </c>
      <c r="E2" s="30" t="s">
        <v>80</v>
      </c>
      <c r="F2" s="30" t="s">
        <v>81</v>
      </c>
      <c r="G2" s="30" t="s">
        <v>82</v>
      </c>
      <c r="H2" s="30" t="s">
        <v>83</v>
      </c>
      <c r="I2" s="30" t="s">
        <v>84</v>
      </c>
      <c r="J2" s="30" t="s">
        <v>85</v>
      </c>
      <c r="K2" s="31" t="s">
        <v>86</v>
      </c>
    </row>
    <row r="3" spans="1:11">
      <c r="A3" s="30">
        <v>1</v>
      </c>
      <c r="B3" s="29" t="s">
        <v>87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3">
        <v>0</v>
      </c>
    </row>
    <row r="4" spans="1:11">
      <c r="A4" s="30">
        <v>2</v>
      </c>
      <c r="B4" s="34" t="s">
        <v>88</v>
      </c>
      <c r="C4" s="32">
        <v>0</v>
      </c>
      <c r="D4" s="32">
        <v>0.72</v>
      </c>
      <c r="E4" s="32">
        <v>10</v>
      </c>
      <c r="F4" s="32">
        <v>0</v>
      </c>
      <c r="G4" s="32">
        <v>0</v>
      </c>
      <c r="H4" s="32">
        <v>0.62</v>
      </c>
      <c r="I4" s="32">
        <v>0</v>
      </c>
      <c r="J4" s="32">
        <v>0</v>
      </c>
      <c r="K4" s="33">
        <v>2.27</v>
      </c>
    </row>
    <row r="5" spans="1:11">
      <c r="A5" s="30">
        <v>3</v>
      </c>
      <c r="B5" s="34" t="s">
        <v>89</v>
      </c>
      <c r="C5" s="32">
        <v>1.1000000000000001</v>
      </c>
      <c r="D5" s="32">
        <v>1.46</v>
      </c>
      <c r="E5" s="32">
        <v>0.32</v>
      </c>
      <c r="F5" s="32">
        <v>0.1</v>
      </c>
      <c r="G5" s="32">
        <v>0.45</v>
      </c>
      <c r="H5" s="32">
        <v>0.54</v>
      </c>
      <c r="I5" s="32">
        <v>0.34</v>
      </c>
      <c r="J5" s="32">
        <v>0.82</v>
      </c>
      <c r="K5" s="33">
        <v>0.74</v>
      </c>
    </row>
    <row r="6" spans="1:11">
      <c r="A6" s="30">
        <v>4</v>
      </c>
      <c r="B6" s="34" t="s">
        <v>90</v>
      </c>
      <c r="C6" s="32">
        <v>0</v>
      </c>
      <c r="D6" s="32">
        <v>1.89</v>
      </c>
      <c r="E6" s="32">
        <v>0</v>
      </c>
      <c r="F6" s="32">
        <v>0</v>
      </c>
      <c r="G6" s="32">
        <v>1.54</v>
      </c>
      <c r="H6" s="32">
        <v>3.46</v>
      </c>
      <c r="I6" s="32">
        <v>0.77</v>
      </c>
      <c r="J6" s="32">
        <v>3.46</v>
      </c>
      <c r="K6" s="33">
        <v>0.67</v>
      </c>
    </row>
    <row r="7" spans="1:11">
      <c r="A7" s="30">
        <v>5</v>
      </c>
      <c r="B7" s="34" t="s">
        <v>91</v>
      </c>
      <c r="C7" s="32">
        <v>5</v>
      </c>
      <c r="D7" s="32">
        <v>5</v>
      </c>
      <c r="E7" s="32">
        <v>0</v>
      </c>
      <c r="F7" s="32">
        <v>0</v>
      </c>
      <c r="G7" s="32">
        <v>0.52</v>
      </c>
      <c r="H7" s="32">
        <v>5</v>
      </c>
      <c r="I7" s="32">
        <v>0.21</v>
      </c>
      <c r="J7" s="32">
        <v>5</v>
      </c>
      <c r="K7" s="33">
        <v>2.67</v>
      </c>
    </row>
    <row r="8" spans="1:11">
      <c r="A8" s="30"/>
      <c r="B8" s="29" t="s">
        <v>92</v>
      </c>
      <c r="C8" s="30">
        <f t="shared" ref="C8:K8" si="0">SUM(C3:C7)</f>
        <v>6.1</v>
      </c>
      <c r="D8" s="30">
        <f t="shared" si="0"/>
        <v>9.07</v>
      </c>
      <c r="E8" s="30">
        <f t="shared" si="0"/>
        <v>10.32</v>
      </c>
      <c r="F8" s="30">
        <f t="shared" si="0"/>
        <v>0.1</v>
      </c>
      <c r="G8" s="30">
        <f t="shared" si="0"/>
        <v>2.5099999999999998</v>
      </c>
      <c r="H8" s="30">
        <f t="shared" si="0"/>
        <v>9.620000000000001</v>
      </c>
      <c r="I8" s="30">
        <f t="shared" si="0"/>
        <v>1.32</v>
      </c>
      <c r="J8" s="30">
        <f t="shared" si="0"/>
        <v>9.2800000000000011</v>
      </c>
      <c r="K8" s="31">
        <f t="shared" si="0"/>
        <v>6.35</v>
      </c>
    </row>
    <row r="9" spans="1:11">
      <c r="B9" s="35"/>
      <c r="K9" s="36"/>
    </row>
    <row r="10" spans="1:11">
      <c r="B10" s="35"/>
      <c r="K10" s="36"/>
    </row>
    <row r="11" spans="1:11">
      <c r="B11" s="35"/>
      <c r="K11" s="36"/>
    </row>
    <row r="12" spans="1:11">
      <c r="B12" s="35"/>
      <c r="K12" s="36"/>
    </row>
    <row r="13" spans="1:11">
      <c r="B13" s="35"/>
      <c r="K13" s="36"/>
    </row>
    <row r="14" spans="1:11">
      <c r="B14" s="35"/>
      <c r="K14" s="36"/>
    </row>
    <row r="15" spans="1:11">
      <c r="B15" s="35"/>
      <c r="K15" s="36"/>
    </row>
    <row r="16" spans="1:11">
      <c r="B16" s="35"/>
      <c r="K16" s="36"/>
    </row>
    <row r="17" spans="2:11">
      <c r="B17" s="35"/>
      <c r="K17" s="36"/>
    </row>
    <row r="18" spans="2:11">
      <c r="B18" s="35"/>
      <c r="K18" s="36"/>
    </row>
    <row r="19" spans="2:11">
      <c r="B19" s="35"/>
      <c r="K19" s="36"/>
    </row>
    <row r="20" spans="2:11">
      <c r="B20" s="35"/>
      <c r="K20" s="36"/>
    </row>
    <row r="21" spans="2:11">
      <c r="B21" s="35"/>
      <c r="K21" s="36"/>
    </row>
    <row r="22" spans="2:11">
      <c r="B22" s="35"/>
      <c r="K22" s="36"/>
    </row>
    <row r="23" spans="2:11">
      <c r="B23" s="35"/>
      <c r="K23" s="36"/>
    </row>
    <row r="24" spans="2:11">
      <c r="B24" s="35"/>
      <c r="K24" s="36"/>
    </row>
    <row r="25" spans="2:11">
      <c r="B25" s="35"/>
      <c r="K25" s="36"/>
    </row>
    <row r="26" spans="2:11">
      <c r="B26" s="35"/>
      <c r="K26" s="36"/>
    </row>
    <row r="27" spans="2:11">
      <c r="B27" s="35"/>
      <c r="K27" s="36"/>
    </row>
    <row r="28" spans="2:11">
      <c r="B28" s="35"/>
      <c r="K28" s="36"/>
    </row>
    <row r="29" spans="2:11">
      <c r="B29" s="35"/>
      <c r="K29" s="36"/>
    </row>
    <row r="30" spans="2:11">
      <c r="B30" s="35"/>
      <c r="K30" s="36"/>
    </row>
    <row r="31" spans="2:11">
      <c r="B31" s="35"/>
      <c r="K31" s="36"/>
    </row>
    <row r="32" spans="2:11">
      <c r="B32" s="35"/>
      <c r="K32" s="36"/>
    </row>
    <row r="33" spans="2:11">
      <c r="B33" s="35"/>
      <c r="K33" s="36"/>
    </row>
    <row r="34" spans="2:11">
      <c r="B34" s="35"/>
      <c r="K34" s="36"/>
    </row>
    <row r="35" spans="2:11">
      <c r="B35" s="35"/>
      <c r="K35" s="36"/>
    </row>
    <row r="36" spans="2:11">
      <c r="B36" s="35"/>
      <c r="K36" s="36"/>
    </row>
    <row r="37" spans="2:11">
      <c r="B37" s="35"/>
      <c r="K37" s="36"/>
    </row>
    <row r="38" spans="2:11">
      <c r="B38" s="35"/>
      <c r="K38" s="36"/>
    </row>
    <row r="39" spans="2:11">
      <c r="B39" s="35"/>
      <c r="K39" s="36"/>
    </row>
    <row r="40" spans="2:11">
      <c r="B40" s="35"/>
      <c r="K40" s="36"/>
    </row>
    <row r="41" spans="2:11">
      <c r="B41" s="35"/>
      <c r="K41" s="36"/>
    </row>
    <row r="42" spans="2:11">
      <c r="B42" s="35"/>
      <c r="K42" s="36"/>
    </row>
    <row r="43" spans="2:11">
      <c r="B43" s="35"/>
      <c r="K43" s="36"/>
    </row>
    <row r="44" spans="2:11">
      <c r="B44" s="35"/>
      <c r="K44" s="36"/>
    </row>
    <row r="45" spans="2:11">
      <c r="B45" s="35"/>
      <c r="K45" s="36"/>
    </row>
    <row r="46" spans="2:11">
      <c r="B46" s="35"/>
      <c r="K46" s="36"/>
    </row>
    <row r="47" spans="2:11">
      <c r="B47" s="35"/>
      <c r="K47" s="36"/>
    </row>
    <row r="48" spans="2:11">
      <c r="B48" s="35"/>
      <c r="K48" s="36"/>
    </row>
    <row r="49" spans="2:11">
      <c r="B49" s="35"/>
      <c r="K49" s="36"/>
    </row>
    <row r="50" spans="2:11">
      <c r="B50" s="35"/>
      <c r="K50" s="36"/>
    </row>
    <row r="51" spans="2:11">
      <c r="B51" s="35"/>
      <c r="K51" s="36"/>
    </row>
    <row r="52" spans="2:11">
      <c r="B52" s="35"/>
      <c r="K52" s="36"/>
    </row>
    <row r="53" spans="2:11">
      <c r="B53" s="35"/>
      <c r="K53" s="36"/>
    </row>
    <row r="54" spans="2:11">
      <c r="B54" s="35"/>
      <c r="K54" s="36"/>
    </row>
    <row r="55" spans="2:11">
      <c r="B55" s="35"/>
      <c r="K55" s="36"/>
    </row>
    <row r="56" spans="2:11">
      <c r="B56" s="35"/>
      <c r="K56" s="36"/>
    </row>
    <row r="57" spans="2:11">
      <c r="B57" s="35"/>
      <c r="K57" s="36"/>
    </row>
    <row r="58" spans="2:11">
      <c r="B58" s="35"/>
      <c r="K58" s="36"/>
    </row>
    <row r="59" spans="2:11">
      <c r="B59" s="35"/>
      <c r="K59" s="36"/>
    </row>
    <row r="60" spans="2:11">
      <c r="B60" s="35"/>
      <c r="K60" s="36"/>
    </row>
    <row r="61" spans="2:11">
      <c r="B61" s="35"/>
      <c r="K61" s="36"/>
    </row>
    <row r="62" spans="2:11">
      <c r="B62" s="35"/>
      <c r="K62" s="36"/>
    </row>
    <row r="63" spans="2:11">
      <c r="B63" s="35"/>
      <c r="K63" s="36"/>
    </row>
    <row r="64" spans="2:11">
      <c r="B64" s="35"/>
      <c r="K64" s="36"/>
    </row>
    <row r="65" spans="2:11">
      <c r="B65" s="35"/>
      <c r="K65" s="36"/>
    </row>
    <row r="66" spans="2:11">
      <c r="B66" s="35"/>
      <c r="K66" s="36"/>
    </row>
    <row r="67" spans="2:11">
      <c r="B67" s="35"/>
      <c r="K67" s="36"/>
    </row>
    <row r="68" spans="2:11">
      <c r="B68" s="35"/>
      <c r="K68" s="36"/>
    </row>
    <row r="69" spans="2:11">
      <c r="B69" s="35"/>
      <c r="K69" s="36"/>
    </row>
    <row r="70" spans="2:11">
      <c r="B70" s="35"/>
      <c r="K70" s="36"/>
    </row>
    <row r="71" spans="2:11">
      <c r="B71" s="35"/>
      <c r="K71" s="36"/>
    </row>
    <row r="72" spans="2:11">
      <c r="B72" s="35"/>
      <c r="K72" s="36"/>
    </row>
    <row r="73" spans="2:11">
      <c r="B73" s="35"/>
      <c r="K73" s="36"/>
    </row>
    <row r="74" spans="2:11">
      <c r="B74" s="35"/>
      <c r="K74" s="36"/>
    </row>
    <row r="75" spans="2:11">
      <c r="B75" s="35"/>
      <c r="K75" s="36"/>
    </row>
    <row r="76" spans="2:11">
      <c r="B76" s="35"/>
      <c r="K76" s="36"/>
    </row>
    <row r="77" spans="2:11">
      <c r="B77" s="35"/>
      <c r="K77" s="36"/>
    </row>
    <row r="78" spans="2:11">
      <c r="B78" s="35"/>
      <c r="K78" s="36"/>
    </row>
    <row r="79" spans="2:11">
      <c r="B79" s="35"/>
      <c r="K79" s="36"/>
    </row>
    <row r="80" spans="2:11">
      <c r="B80" s="35"/>
      <c r="K80" s="36"/>
    </row>
    <row r="81" spans="2:11">
      <c r="B81" s="35"/>
      <c r="K81" s="36"/>
    </row>
    <row r="82" spans="2:11">
      <c r="B82" s="35"/>
      <c r="K82" s="36"/>
    </row>
    <row r="83" spans="2:11">
      <c r="B83" s="35"/>
      <c r="K83" s="36"/>
    </row>
    <row r="84" spans="2:11">
      <c r="B84" s="35"/>
      <c r="K84" s="36"/>
    </row>
    <row r="85" spans="2:11">
      <c r="B85" s="35"/>
      <c r="K85" s="36"/>
    </row>
    <row r="86" spans="2:11">
      <c r="B86" s="35"/>
      <c r="K86" s="36"/>
    </row>
    <row r="87" spans="2:11">
      <c r="B87" s="35"/>
      <c r="K87" s="36"/>
    </row>
    <row r="88" spans="2:11">
      <c r="B88" s="35"/>
      <c r="K88" s="36"/>
    </row>
    <row r="89" spans="2:11">
      <c r="B89" s="35"/>
      <c r="K89" s="36"/>
    </row>
    <row r="90" spans="2:11">
      <c r="B90" s="35"/>
      <c r="K90" s="36"/>
    </row>
    <row r="91" spans="2:11">
      <c r="B91" s="35"/>
      <c r="K91" s="36"/>
    </row>
    <row r="92" spans="2:11">
      <c r="B92" s="35"/>
      <c r="K92" s="36"/>
    </row>
    <row r="93" spans="2:11">
      <c r="B93" s="35"/>
      <c r="K93" s="36"/>
    </row>
    <row r="94" spans="2:11">
      <c r="B94" s="35"/>
      <c r="K94" s="36"/>
    </row>
    <row r="95" spans="2:11">
      <c r="B95" s="35"/>
      <c r="K95" s="36"/>
    </row>
    <row r="96" spans="2:11">
      <c r="B96" s="35"/>
      <c r="K96" s="36"/>
    </row>
    <row r="97" spans="2:11">
      <c r="B97" s="35"/>
      <c r="K97" s="36"/>
    </row>
    <row r="98" spans="2:11">
      <c r="B98" s="35"/>
      <c r="K98" s="36"/>
    </row>
    <row r="99" spans="2:11">
      <c r="B99" s="35"/>
      <c r="K99" s="36"/>
    </row>
    <row r="100" spans="2:11">
      <c r="B100" s="35"/>
      <c r="K100" s="36"/>
    </row>
    <row r="101" spans="2:11">
      <c r="B101" s="35"/>
      <c r="K101" s="36"/>
    </row>
    <row r="102" spans="2:11">
      <c r="B102" s="35"/>
      <c r="K102" s="36"/>
    </row>
    <row r="103" spans="2:11">
      <c r="B103" s="35"/>
      <c r="K103" s="36"/>
    </row>
    <row r="104" spans="2:11">
      <c r="B104" s="35"/>
      <c r="K104" s="36"/>
    </row>
    <row r="105" spans="2:11">
      <c r="B105" s="35"/>
      <c r="K105" s="36"/>
    </row>
    <row r="106" spans="2:11">
      <c r="B106" s="35"/>
      <c r="K106" s="36"/>
    </row>
    <row r="107" spans="2:11">
      <c r="B107" s="35"/>
      <c r="K107" s="36"/>
    </row>
    <row r="108" spans="2:11">
      <c r="B108" s="35"/>
      <c r="K108" s="36"/>
    </row>
    <row r="109" spans="2:11">
      <c r="B109" s="35"/>
      <c r="K109" s="36"/>
    </row>
    <row r="110" spans="2:11">
      <c r="B110" s="35"/>
      <c r="K110" s="36"/>
    </row>
    <row r="111" spans="2:11">
      <c r="B111" s="35"/>
      <c r="K111" s="36"/>
    </row>
    <row r="112" spans="2:11">
      <c r="B112" s="35"/>
      <c r="K112" s="36"/>
    </row>
    <row r="113" spans="2:11">
      <c r="B113" s="35"/>
      <c r="K113" s="36"/>
    </row>
    <row r="114" spans="2:11">
      <c r="B114" s="35"/>
      <c r="K114" s="36"/>
    </row>
    <row r="115" spans="2:11">
      <c r="B115" s="35"/>
      <c r="K115" s="36"/>
    </row>
    <row r="116" spans="2:11">
      <c r="B116" s="35"/>
      <c r="K116" s="36"/>
    </row>
    <row r="117" spans="2:11">
      <c r="B117" s="35"/>
      <c r="K117" s="36"/>
    </row>
    <row r="118" spans="2:11">
      <c r="B118" s="35"/>
      <c r="K118" s="36"/>
    </row>
    <row r="119" spans="2:11">
      <c r="B119" s="35"/>
      <c r="K119" s="36"/>
    </row>
    <row r="120" spans="2:11">
      <c r="B120" s="35"/>
      <c r="K120" s="36"/>
    </row>
    <row r="121" spans="2:11">
      <c r="B121" s="35"/>
      <c r="K121" s="36"/>
    </row>
    <row r="122" spans="2:11">
      <c r="B122" s="35"/>
      <c r="K122" s="36"/>
    </row>
    <row r="123" spans="2:11">
      <c r="B123" s="35"/>
      <c r="K123" s="36"/>
    </row>
    <row r="124" spans="2:11">
      <c r="B124" s="35"/>
      <c r="K124" s="36"/>
    </row>
    <row r="125" spans="2:11">
      <c r="B125" s="35"/>
      <c r="K125" s="36"/>
    </row>
    <row r="126" spans="2:11">
      <c r="B126" s="35"/>
      <c r="K126" s="36"/>
    </row>
    <row r="127" spans="2:11">
      <c r="B127" s="35"/>
      <c r="K127" s="36"/>
    </row>
    <row r="128" spans="2:11">
      <c r="B128" s="35"/>
      <c r="K128" s="36"/>
    </row>
    <row r="129" spans="2:11">
      <c r="B129" s="35"/>
      <c r="K129" s="36"/>
    </row>
    <row r="130" spans="2:11">
      <c r="B130" s="35"/>
      <c r="K130" s="36"/>
    </row>
    <row r="131" spans="2:11">
      <c r="B131" s="35"/>
      <c r="K131" s="36"/>
    </row>
    <row r="132" spans="2:11">
      <c r="B132" s="35"/>
      <c r="K132" s="36"/>
    </row>
    <row r="133" spans="2:11">
      <c r="B133" s="35"/>
      <c r="K133" s="36"/>
    </row>
    <row r="134" spans="2:11">
      <c r="B134" s="35"/>
      <c r="K134" s="36"/>
    </row>
    <row r="135" spans="2:11">
      <c r="B135" s="35"/>
      <c r="K135" s="36"/>
    </row>
    <row r="136" spans="2:11">
      <c r="B136" s="35"/>
      <c r="K136" s="36"/>
    </row>
    <row r="137" spans="2:11">
      <c r="B137" s="35"/>
      <c r="K137" s="36"/>
    </row>
    <row r="138" spans="2:11">
      <c r="B138" s="35"/>
      <c r="K138" s="36"/>
    </row>
    <row r="139" spans="2:11">
      <c r="B139" s="35"/>
      <c r="K139" s="36"/>
    </row>
    <row r="140" spans="2:11">
      <c r="B140" s="35"/>
      <c r="K140" s="36"/>
    </row>
    <row r="141" spans="2:11">
      <c r="B141" s="35"/>
      <c r="K141" s="36"/>
    </row>
    <row r="142" spans="2:11">
      <c r="B142" s="35"/>
      <c r="K142" s="36"/>
    </row>
    <row r="143" spans="2:11">
      <c r="B143" s="35"/>
      <c r="K143" s="36"/>
    </row>
    <row r="144" spans="2:11">
      <c r="B144" s="35"/>
      <c r="K144" s="36"/>
    </row>
    <row r="145" spans="2:11">
      <c r="B145" s="35"/>
      <c r="K145" s="36"/>
    </row>
    <row r="146" spans="2:11">
      <c r="B146" s="35"/>
      <c r="K146" s="36"/>
    </row>
    <row r="147" spans="2:11">
      <c r="B147" s="35"/>
      <c r="K147" s="36"/>
    </row>
    <row r="148" spans="2:11">
      <c r="B148" s="35"/>
      <c r="K148" s="36"/>
    </row>
    <row r="149" spans="2:11">
      <c r="B149" s="35"/>
      <c r="K149" s="36"/>
    </row>
    <row r="150" spans="2:11">
      <c r="B150" s="35"/>
      <c r="K150" s="36"/>
    </row>
    <row r="151" spans="2:11">
      <c r="B151" s="35"/>
      <c r="K151" s="36"/>
    </row>
    <row r="152" spans="2:11">
      <c r="B152" s="35"/>
      <c r="K152" s="36"/>
    </row>
    <row r="153" spans="2:11">
      <c r="B153" s="35"/>
      <c r="K153" s="36"/>
    </row>
    <row r="154" spans="2:11">
      <c r="B154" s="35"/>
      <c r="K154" s="36"/>
    </row>
    <row r="155" spans="2:11">
      <c r="B155" s="35"/>
      <c r="K155" s="36"/>
    </row>
    <row r="156" spans="2:11">
      <c r="B156" s="35"/>
      <c r="K156" s="36"/>
    </row>
    <row r="157" spans="2:11">
      <c r="B157" s="35"/>
      <c r="K157" s="36"/>
    </row>
    <row r="158" spans="2:11">
      <c r="B158" s="35"/>
      <c r="K158" s="36"/>
    </row>
    <row r="159" spans="2:11">
      <c r="B159" s="35"/>
      <c r="K159" s="36"/>
    </row>
    <row r="160" spans="2:11">
      <c r="B160" s="35"/>
      <c r="K160" s="36"/>
    </row>
    <row r="161" spans="2:11">
      <c r="B161" s="35"/>
      <c r="K161" s="36"/>
    </row>
    <row r="162" spans="2:11">
      <c r="B162" s="35"/>
      <c r="K162" s="36"/>
    </row>
    <row r="163" spans="2:11">
      <c r="B163" s="35"/>
      <c r="K163" s="36"/>
    </row>
    <row r="164" spans="2:11">
      <c r="B164" s="35"/>
      <c r="K164" s="36"/>
    </row>
    <row r="165" spans="2:11">
      <c r="B165" s="35"/>
      <c r="K165" s="36"/>
    </row>
    <row r="166" spans="2:11">
      <c r="B166" s="35"/>
      <c r="K166" s="36"/>
    </row>
    <row r="167" spans="2:11">
      <c r="B167" s="35"/>
      <c r="K167" s="36"/>
    </row>
    <row r="168" spans="2:11">
      <c r="B168" s="35"/>
      <c r="K168" s="36"/>
    </row>
    <row r="169" spans="2:11">
      <c r="B169" s="35"/>
      <c r="K169" s="36"/>
    </row>
    <row r="170" spans="2:11">
      <c r="B170" s="35"/>
      <c r="K170" s="36"/>
    </row>
    <row r="171" spans="2:11">
      <c r="B171" s="35"/>
      <c r="K171" s="36"/>
    </row>
    <row r="172" spans="2:11">
      <c r="B172" s="35"/>
      <c r="K172" s="36"/>
    </row>
    <row r="173" spans="2:11">
      <c r="B173" s="35"/>
      <c r="K173" s="36"/>
    </row>
    <row r="174" spans="2:11">
      <c r="B174" s="35"/>
      <c r="K174" s="36"/>
    </row>
    <row r="175" spans="2:11">
      <c r="B175" s="35"/>
      <c r="K175" s="36"/>
    </row>
    <row r="176" spans="2:11">
      <c r="B176" s="35"/>
      <c r="K176" s="36"/>
    </row>
    <row r="177" spans="2:11">
      <c r="B177" s="35"/>
      <c r="K177" s="36"/>
    </row>
    <row r="178" spans="2:11">
      <c r="B178" s="35"/>
      <c r="K178" s="36"/>
    </row>
    <row r="179" spans="2:11">
      <c r="B179" s="35"/>
      <c r="K179" s="36"/>
    </row>
    <row r="180" spans="2:11">
      <c r="B180" s="35"/>
      <c r="K180" s="36"/>
    </row>
    <row r="181" spans="2:11">
      <c r="B181" s="35"/>
      <c r="K181" s="36"/>
    </row>
    <row r="182" spans="2:11">
      <c r="B182" s="35"/>
      <c r="K182" s="36"/>
    </row>
    <row r="183" spans="2:11">
      <c r="B183" s="35"/>
      <c r="K183" s="36"/>
    </row>
    <row r="184" spans="2:11">
      <c r="B184" s="35"/>
      <c r="K184" s="36"/>
    </row>
    <row r="185" spans="2:11">
      <c r="B185" s="35"/>
      <c r="K185" s="36"/>
    </row>
    <row r="186" spans="2:11">
      <c r="B186" s="35"/>
      <c r="K186" s="36"/>
    </row>
    <row r="187" spans="2:11">
      <c r="B187" s="35"/>
      <c r="K187" s="36"/>
    </row>
    <row r="188" spans="2:11">
      <c r="B188" s="35"/>
      <c r="K188" s="36"/>
    </row>
    <row r="189" spans="2:11">
      <c r="B189" s="35"/>
      <c r="K189" s="36"/>
    </row>
    <row r="190" spans="2:11">
      <c r="B190" s="35"/>
      <c r="K190" s="36"/>
    </row>
    <row r="191" spans="2:11">
      <c r="B191" s="35"/>
      <c r="K191" s="36"/>
    </row>
    <row r="192" spans="2:11">
      <c r="B192" s="35"/>
      <c r="K192" s="36"/>
    </row>
    <row r="193" spans="2:11">
      <c r="B193" s="35"/>
      <c r="K193" s="36"/>
    </row>
    <row r="194" spans="2:11">
      <c r="B194" s="35"/>
      <c r="K194" s="36"/>
    </row>
    <row r="195" spans="2:11">
      <c r="B195" s="35"/>
      <c r="K195" s="36"/>
    </row>
    <row r="196" spans="2:11">
      <c r="B196" s="35"/>
      <c r="K196" s="36"/>
    </row>
    <row r="197" spans="2:11">
      <c r="B197" s="35"/>
      <c r="K197" s="36"/>
    </row>
    <row r="198" spans="2:11">
      <c r="B198" s="35"/>
      <c r="K198" s="36"/>
    </row>
    <row r="199" spans="2:11">
      <c r="B199" s="35"/>
      <c r="K199" s="36"/>
    </row>
    <row r="200" spans="2:11">
      <c r="B200" s="35"/>
      <c r="K200" s="36"/>
    </row>
    <row r="201" spans="2:11">
      <c r="B201" s="35"/>
      <c r="K201" s="36"/>
    </row>
    <row r="202" spans="2:11">
      <c r="B202" s="35"/>
      <c r="K202" s="36"/>
    </row>
    <row r="203" spans="2:11">
      <c r="B203" s="35"/>
      <c r="K203" s="36"/>
    </row>
    <row r="204" spans="2:11">
      <c r="B204" s="35"/>
      <c r="K204" s="36"/>
    </row>
    <row r="205" spans="2:11">
      <c r="B205" s="35"/>
      <c r="K205" s="36"/>
    </row>
    <row r="206" spans="2:11">
      <c r="B206" s="35"/>
      <c r="K206" s="36"/>
    </row>
    <row r="207" spans="2:11">
      <c r="B207" s="35"/>
      <c r="K207" s="36"/>
    </row>
    <row r="208" spans="2:11">
      <c r="B208" s="35"/>
      <c r="K208" s="36"/>
    </row>
    <row r="209" spans="2:11">
      <c r="B209" s="35"/>
      <c r="K209" s="36"/>
    </row>
    <row r="210" spans="2:11">
      <c r="B210" s="35"/>
      <c r="K210" s="36"/>
    </row>
    <row r="211" spans="2:11">
      <c r="B211" s="35"/>
      <c r="K211" s="36"/>
    </row>
    <row r="212" spans="2:11">
      <c r="B212" s="35"/>
      <c r="K212" s="36"/>
    </row>
    <row r="213" spans="2:11">
      <c r="B213" s="35"/>
      <c r="K213" s="36"/>
    </row>
    <row r="214" spans="2:11">
      <c r="B214" s="35"/>
      <c r="K214" s="36"/>
    </row>
    <row r="215" spans="2:11">
      <c r="B215" s="35"/>
      <c r="K215" s="36"/>
    </row>
    <row r="216" spans="2:11">
      <c r="B216" s="35"/>
      <c r="K216" s="36"/>
    </row>
    <row r="217" spans="2:11">
      <c r="B217" s="35"/>
      <c r="K217" s="36"/>
    </row>
    <row r="218" spans="2:11">
      <c r="B218" s="35"/>
      <c r="K218" s="36"/>
    </row>
    <row r="219" spans="2:11">
      <c r="B219" s="35"/>
      <c r="K219" s="36"/>
    </row>
    <row r="220" spans="2:11">
      <c r="B220" s="35"/>
      <c r="K220" s="36"/>
    </row>
    <row r="221" spans="2:11">
      <c r="B221" s="35"/>
      <c r="K221" s="36"/>
    </row>
    <row r="222" spans="2:11">
      <c r="B222" s="35"/>
      <c r="K222" s="36"/>
    </row>
    <row r="223" spans="2:11">
      <c r="B223" s="35"/>
      <c r="K223" s="36"/>
    </row>
    <row r="224" spans="2:11">
      <c r="B224" s="35"/>
      <c r="K224" s="36"/>
    </row>
    <row r="225" spans="2:11">
      <c r="B225" s="35"/>
      <c r="K225" s="36"/>
    </row>
    <row r="226" spans="2:11">
      <c r="B226" s="35"/>
      <c r="K226" s="36"/>
    </row>
    <row r="227" spans="2:11">
      <c r="B227" s="35"/>
      <c r="K227" s="36"/>
    </row>
    <row r="228" spans="2:11">
      <c r="B228" s="35"/>
      <c r="K228" s="36"/>
    </row>
    <row r="229" spans="2:11">
      <c r="B229" s="35"/>
      <c r="K229" s="36"/>
    </row>
    <row r="230" spans="2:11">
      <c r="B230" s="35"/>
      <c r="K230" s="36"/>
    </row>
    <row r="231" spans="2:11">
      <c r="B231" s="35"/>
      <c r="K231" s="36"/>
    </row>
    <row r="232" spans="2:11">
      <c r="B232" s="35"/>
      <c r="K232" s="36"/>
    </row>
    <row r="233" spans="2:11">
      <c r="B233" s="35"/>
      <c r="K233" s="36"/>
    </row>
    <row r="234" spans="2:11">
      <c r="B234" s="35"/>
      <c r="K234" s="36"/>
    </row>
    <row r="235" spans="2:11">
      <c r="B235" s="35"/>
      <c r="K235" s="36"/>
    </row>
    <row r="236" spans="2:11">
      <c r="B236" s="35"/>
      <c r="K236" s="36"/>
    </row>
    <row r="237" spans="2:11">
      <c r="B237" s="35"/>
      <c r="K237" s="36"/>
    </row>
    <row r="238" spans="2:11">
      <c r="B238" s="35"/>
      <c r="K238" s="36"/>
    </row>
    <row r="239" spans="2:11">
      <c r="B239" s="35"/>
      <c r="K239" s="36"/>
    </row>
    <row r="240" spans="2:11">
      <c r="B240" s="35"/>
      <c r="K240" s="36"/>
    </row>
    <row r="241" spans="2:11">
      <c r="B241" s="35"/>
      <c r="K241" s="36"/>
    </row>
    <row r="242" spans="2:11">
      <c r="B242" s="35"/>
      <c r="K242" s="36"/>
    </row>
    <row r="243" spans="2:11">
      <c r="B243" s="35"/>
      <c r="K243" s="36"/>
    </row>
    <row r="244" spans="2:11">
      <c r="B244" s="35"/>
      <c r="K244" s="36"/>
    </row>
    <row r="245" spans="2:11">
      <c r="B245" s="35"/>
      <c r="K245" s="36"/>
    </row>
    <row r="246" spans="2:11">
      <c r="B246" s="35"/>
      <c r="K246" s="36"/>
    </row>
    <row r="247" spans="2:11">
      <c r="B247" s="35"/>
      <c r="K247" s="36"/>
    </row>
    <row r="248" spans="2:11">
      <c r="B248" s="35"/>
      <c r="K248" s="36"/>
    </row>
    <row r="249" spans="2:11">
      <c r="B249" s="35"/>
      <c r="K249" s="36"/>
    </row>
    <row r="250" spans="2:11">
      <c r="B250" s="35"/>
      <c r="K250" s="36"/>
    </row>
    <row r="251" spans="2:11">
      <c r="B251" s="35"/>
      <c r="K251" s="36"/>
    </row>
    <row r="252" spans="2:11">
      <c r="B252" s="35"/>
      <c r="K252" s="36"/>
    </row>
    <row r="253" spans="2:11">
      <c r="B253" s="35"/>
      <c r="K253" s="36"/>
    </row>
    <row r="254" spans="2:11">
      <c r="B254" s="35"/>
      <c r="K254" s="36"/>
    </row>
    <row r="255" spans="2:11">
      <c r="B255" s="35"/>
      <c r="K255" s="36"/>
    </row>
    <row r="256" spans="2:11">
      <c r="B256" s="35"/>
      <c r="K256" s="36"/>
    </row>
    <row r="257" spans="2:11">
      <c r="B257" s="35"/>
      <c r="K257" s="36"/>
    </row>
    <row r="258" spans="2:11">
      <c r="B258" s="35"/>
      <c r="K258" s="36"/>
    </row>
    <row r="259" spans="2:11">
      <c r="B259" s="35"/>
      <c r="K259" s="36"/>
    </row>
    <row r="260" spans="2:11">
      <c r="B260" s="35"/>
      <c r="K260" s="36"/>
    </row>
    <row r="261" spans="2:11">
      <c r="B261" s="35"/>
      <c r="K261" s="36"/>
    </row>
    <row r="262" spans="2:11">
      <c r="B262" s="35"/>
      <c r="K262" s="36"/>
    </row>
    <row r="263" spans="2:11">
      <c r="B263" s="35"/>
      <c r="K263" s="36"/>
    </row>
    <row r="264" spans="2:11">
      <c r="B264" s="35"/>
      <c r="K264" s="36"/>
    </row>
    <row r="265" spans="2:11">
      <c r="B265" s="35"/>
      <c r="K265" s="36"/>
    </row>
    <row r="266" spans="2:11">
      <c r="B266" s="35"/>
      <c r="K266" s="36"/>
    </row>
    <row r="267" spans="2:11">
      <c r="B267" s="35"/>
      <c r="K267" s="36"/>
    </row>
    <row r="268" spans="2:11">
      <c r="B268" s="35"/>
      <c r="K268" s="36"/>
    </row>
    <row r="269" spans="2:11">
      <c r="B269" s="35"/>
      <c r="K269" s="36"/>
    </row>
    <row r="270" spans="2:11">
      <c r="B270" s="35"/>
      <c r="K270" s="36"/>
    </row>
    <row r="271" spans="2:11">
      <c r="B271" s="35"/>
      <c r="K271" s="36"/>
    </row>
    <row r="272" spans="2:11">
      <c r="B272" s="35"/>
      <c r="K272" s="36"/>
    </row>
    <row r="273" spans="2:11">
      <c r="B273" s="35"/>
      <c r="K273" s="36"/>
    </row>
    <row r="274" spans="2:11">
      <c r="B274" s="35"/>
      <c r="K274" s="36"/>
    </row>
    <row r="275" spans="2:11">
      <c r="B275" s="35"/>
      <c r="K275" s="36"/>
    </row>
    <row r="276" spans="2:11">
      <c r="B276" s="35"/>
      <c r="K276" s="36"/>
    </row>
    <row r="277" spans="2:11">
      <c r="B277" s="35"/>
      <c r="K277" s="36"/>
    </row>
    <row r="278" spans="2:11">
      <c r="B278" s="35"/>
      <c r="K278" s="36"/>
    </row>
    <row r="279" spans="2:11">
      <c r="B279" s="35"/>
      <c r="K279" s="36"/>
    </row>
    <row r="280" spans="2:11">
      <c r="B280" s="35"/>
      <c r="K280" s="36"/>
    </row>
    <row r="281" spans="2:11">
      <c r="B281" s="35"/>
      <c r="K281" s="36"/>
    </row>
    <row r="282" spans="2:11">
      <c r="B282" s="35"/>
      <c r="K282" s="36"/>
    </row>
    <row r="283" spans="2:11">
      <c r="B283" s="35"/>
      <c r="K283" s="36"/>
    </row>
    <row r="284" spans="2:11">
      <c r="B284" s="35"/>
      <c r="K284" s="36"/>
    </row>
    <row r="285" spans="2:11">
      <c r="B285" s="35"/>
      <c r="K285" s="36"/>
    </row>
    <row r="286" spans="2:11">
      <c r="B286" s="35"/>
      <c r="K286" s="36"/>
    </row>
    <row r="287" spans="2:11">
      <c r="B287" s="35"/>
      <c r="K287" s="36"/>
    </row>
    <row r="288" spans="2:11">
      <c r="B288" s="35"/>
      <c r="K288" s="36"/>
    </row>
    <row r="289" spans="2:11">
      <c r="B289" s="35"/>
      <c r="K289" s="36"/>
    </row>
    <row r="290" spans="2:11">
      <c r="B290" s="35"/>
      <c r="K290" s="36"/>
    </row>
    <row r="291" spans="2:11">
      <c r="B291" s="35"/>
      <c r="K291" s="36"/>
    </row>
    <row r="292" spans="2:11">
      <c r="B292" s="35"/>
      <c r="K292" s="36"/>
    </row>
    <row r="293" spans="2:11">
      <c r="B293" s="35"/>
      <c r="K293" s="36"/>
    </row>
    <row r="294" spans="2:11">
      <c r="B294" s="35"/>
      <c r="K294" s="36"/>
    </row>
    <row r="295" spans="2:11">
      <c r="B295" s="35"/>
      <c r="K295" s="36"/>
    </row>
    <row r="296" spans="2:11">
      <c r="B296" s="35"/>
      <c r="K296" s="36"/>
    </row>
    <row r="297" spans="2:11">
      <c r="B297" s="35"/>
      <c r="K297" s="36"/>
    </row>
    <row r="298" spans="2:11">
      <c r="B298" s="35"/>
      <c r="K298" s="36"/>
    </row>
    <row r="299" spans="2:11">
      <c r="B299" s="35"/>
      <c r="K299" s="36"/>
    </row>
    <row r="300" spans="2:11">
      <c r="B300" s="35"/>
      <c r="K300" s="36"/>
    </row>
    <row r="301" spans="2:11">
      <c r="B301" s="35"/>
      <c r="K301" s="36"/>
    </row>
    <row r="302" spans="2:11">
      <c r="B302" s="35"/>
      <c r="K302" s="36"/>
    </row>
    <row r="303" spans="2:11">
      <c r="B303" s="35"/>
      <c r="K303" s="36"/>
    </row>
    <row r="304" spans="2:11">
      <c r="B304" s="35"/>
      <c r="K304" s="36"/>
    </row>
    <row r="305" spans="2:11">
      <c r="B305" s="35"/>
      <c r="K305" s="36"/>
    </row>
    <row r="306" spans="2:11">
      <c r="B306" s="35"/>
      <c r="K306" s="36"/>
    </row>
    <row r="307" spans="2:11">
      <c r="B307" s="35"/>
      <c r="K307" s="36"/>
    </row>
    <row r="308" spans="2:11">
      <c r="B308" s="35"/>
      <c r="K308" s="36"/>
    </row>
    <row r="309" spans="2:11">
      <c r="B309" s="35"/>
      <c r="K309" s="36"/>
    </row>
    <row r="310" spans="2:11">
      <c r="B310" s="35"/>
      <c r="K310" s="36"/>
    </row>
    <row r="311" spans="2:11">
      <c r="B311" s="35"/>
      <c r="K311" s="36"/>
    </row>
    <row r="312" spans="2:11">
      <c r="B312" s="35"/>
      <c r="K312" s="36"/>
    </row>
    <row r="313" spans="2:11">
      <c r="B313" s="35"/>
      <c r="K313" s="36"/>
    </row>
    <row r="314" spans="2:11">
      <c r="B314" s="35"/>
      <c r="K314" s="36"/>
    </row>
    <row r="315" spans="2:11">
      <c r="B315" s="35"/>
      <c r="K315" s="36"/>
    </row>
    <row r="316" spans="2:11">
      <c r="B316" s="35"/>
      <c r="K316" s="36"/>
    </row>
    <row r="317" spans="2:11">
      <c r="B317" s="35"/>
      <c r="K317" s="36"/>
    </row>
    <row r="318" spans="2:11">
      <c r="B318" s="35"/>
      <c r="K318" s="36"/>
    </row>
    <row r="319" spans="2:11">
      <c r="B319" s="35"/>
      <c r="K319" s="36"/>
    </row>
    <row r="320" spans="2:11">
      <c r="B320" s="35"/>
      <c r="K320" s="36"/>
    </row>
    <row r="321" spans="2:11">
      <c r="B321" s="35"/>
      <c r="K321" s="36"/>
    </row>
    <row r="322" spans="2:11">
      <c r="B322" s="35"/>
      <c r="K322" s="36"/>
    </row>
    <row r="323" spans="2:11">
      <c r="B323" s="35"/>
      <c r="K323" s="36"/>
    </row>
    <row r="324" spans="2:11">
      <c r="B324" s="35"/>
      <c r="K324" s="36"/>
    </row>
    <row r="325" spans="2:11">
      <c r="B325" s="35"/>
      <c r="K325" s="36"/>
    </row>
    <row r="326" spans="2:11">
      <c r="B326" s="35"/>
      <c r="K326" s="36"/>
    </row>
    <row r="327" spans="2:11">
      <c r="B327" s="35"/>
      <c r="K327" s="36"/>
    </row>
    <row r="328" spans="2:11">
      <c r="B328" s="35"/>
      <c r="K328" s="36"/>
    </row>
    <row r="329" spans="2:11">
      <c r="B329" s="35"/>
      <c r="K329" s="36"/>
    </row>
    <row r="330" spans="2:11">
      <c r="B330" s="35"/>
      <c r="K330" s="36"/>
    </row>
    <row r="331" spans="2:11">
      <c r="B331" s="35"/>
      <c r="K331" s="36"/>
    </row>
    <row r="332" spans="2:11">
      <c r="B332" s="35"/>
      <c r="K332" s="36"/>
    </row>
    <row r="333" spans="2:11">
      <c r="B333" s="35"/>
      <c r="K333" s="36"/>
    </row>
    <row r="334" spans="2:11">
      <c r="B334" s="35"/>
      <c r="K334" s="36"/>
    </row>
    <row r="335" spans="2:11">
      <c r="B335" s="35"/>
      <c r="K335" s="36"/>
    </row>
    <row r="336" spans="2:11">
      <c r="B336" s="35"/>
      <c r="K336" s="36"/>
    </row>
    <row r="337" spans="2:11">
      <c r="B337" s="35"/>
      <c r="K337" s="36"/>
    </row>
    <row r="338" spans="2:11">
      <c r="B338" s="35"/>
      <c r="K338" s="36"/>
    </row>
    <row r="339" spans="2:11">
      <c r="B339" s="35"/>
      <c r="K339" s="36"/>
    </row>
    <row r="340" spans="2:11">
      <c r="B340" s="35"/>
      <c r="K340" s="36"/>
    </row>
    <row r="341" spans="2:11">
      <c r="B341" s="35"/>
      <c r="K341" s="36"/>
    </row>
    <row r="342" spans="2:11">
      <c r="B342" s="35"/>
      <c r="K342" s="36"/>
    </row>
    <row r="343" spans="2:11">
      <c r="B343" s="35"/>
      <c r="K343" s="36"/>
    </row>
    <row r="344" spans="2:11">
      <c r="B344" s="35"/>
      <c r="K344" s="36"/>
    </row>
    <row r="345" spans="2:11">
      <c r="B345" s="35"/>
      <c r="K345" s="36"/>
    </row>
    <row r="346" spans="2:11">
      <c r="B346" s="35"/>
      <c r="K346" s="36"/>
    </row>
    <row r="347" spans="2:11">
      <c r="B347" s="35"/>
      <c r="K347" s="36"/>
    </row>
    <row r="348" spans="2:11">
      <c r="B348" s="35"/>
      <c r="K348" s="36"/>
    </row>
    <row r="349" spans="2:11">
      <c r="B349" s="35"/>
      <c r="K349" s="36"/>
    </row>
    <row r="350" spans="2:11">
      <c r="B350" s="35"/>
      <c r="K350" s="36"/>
    </row>
    <row r="351" spans="2:11">
      <c r="B351" s="35"/>
      <c r="K351" s="36"/>
    </row>
    <row r="352" spans="2:11">
      <c r="B352" s="35"/>
      <c r="K352" s="36"/>
    </row>
    <row r="353" spans="2:11">
      <c r="B353" s="35"/>
      <c r="K353" s="36"/>
    </row>
    <row r="354" spans="2:11">
      <c r="B354" s="35"/>
      <c r="K354" s="36"/>
    </row>
    <row r="355" spans="2:11">
      <c r="B355" s="35"/>
      <c r="K355" s="36"/>
    </row>
    <row r="356" spans="2:11">
      <c r="B356" s="35"/>
      <c r="K356" s="36"/>
    </row>
    <row r="357" spans="2:11">
      <c r="B357" s="35"/>
      <c r="K357" s="36"/>
    </row>
    <row r="358" spans="2:11">
      <c r="B358" s="35"/>
      <c r="K358" s="36"/>
    </row>
    <row r="359" spans="2:11">
      <c r="B359" s="35"/>
      <c r="K359" s="36"/>
    </row>
    <row r="360" spans="2:11">
      <c r="B360" s="35"/>
      <c r="K360" s="36"/>
    </row>
    <row r="361" spans="2:11">
      <c r="B361" s="35"/>
      <c r="K361" s="36"/>
    </row>
    <row r="362" spans="2:11">
      <c r="B362" s="35"/>
      <c r="K362" s="36"/>
    </row>
    <row r="363" spans="2:11">
      <c r="B363" s="35"/>
      <c r="K363" s="36"/>
    </row>
    <row r="364" spans="2:11">
      <c r="B364" s="35"/>
      <c r="K364" s="36"/>
    </row>
    <row r="365" spans="2:11">
      <c r="B365" s="35"/>
      <c r="K365" s="36"/>
    </row>
    <row r="366" spans="2:11">
      <c r="B366" s="35"/>
      <c r="K366" s="36"/>
    </row>
    <row r="367" spans="2:11">
      <c r="B367" s="35"/>
      <c r="K367" s="36"/>
    </row>
    <row r="368" spans="2:11">
      <c r="B368" s="35"/>
      <c r="K368" s="36"/>
    </row>
    <row r="369" spans="2:11">
      <c r="B369" s="35"/>
      <c r="K369" s="36"/>
    </row>
    <row r="370" spans="2:11">
      <c r="B370" s="35"/>
      <c r="K370" s="36"/>
    </row>
    <row r="371" spans="2:11">
      <c r="B371" s="35"/>
      <c r="K371" s="36"/>
    </row>
    <row r="372" spans="2:11">
      <c r="B372" s="35"/>
      <c r="K372" s="36"/>
    </row>
    <row r="373" spans="2:11">
      <c r="B373" s="35"/>
      <c r="K373" s="36"/>
    </row>
    <row r="374" spans="2:11">
      <c r="B374" s="35"/>
      <c r="K374" s="36"/>
    </row>
    <row r="375" spans="2:11">
      <c r="B375" s="35"/>
      <c r="K375" s="36"/>
    </row>
    <row r="376" spans="2:11">
      <c r="B376" s="35"/>
      <c r="K376" s="36"/>
    </row>
    <row r="377" spans="2:11">
      <c r="B377" s="35"/>
      <c r="K377" s="36"/>
    </row>
    <row r="378" spans="2:11">
      <c r="B378" s="35"/>
      <c r="K378" s="36"/>
    </row>
    <row r="379" spans="2:11">
      <c r="B379" s="35"/>
      <c r="K379" s="36"/>
    </row>
    <row r="380" spans="2:11">
      <c r="B380" s="35"/>
      <c r="K380" s="36"/>
    </row>
    <row r="381" spans="2:11">
      <c r="B381" s="35"/>
      <c r="K381" s="36"/>
    </row>
    <row r="382" spans="2:11">
      <c r="B382" s="35"/>
      <c r="K382" s="36"/>
    </row>
    <row r="383" spans="2:11">
      <c r="B383" s="35"/>
      <c r="K383" s="36"/>
    </row>
    <row r="384" spans="2:11">
      <c r="B384" s="35"/>
      <c r="K384" s="36"/>
    </row>
    <row r="385" spans="2:11">
      <c r="B385" s="35"/>
      <c r="K385" s="36"/>
    </row>
    <row r="386" spans="2:11">
      <c r="B386" s="35"/>
      <c r="K386" s="36"/>
    </row>
    <row r="387" spans="2:11">
      <c r="B387" s="35"/>
      <c r="K387" s="36"/>
    </row>
    <row r="388" spans="2:11">
      <c r="B388" s="35"/>
      <c r="K388" s="36"/>
    </row>
    <row r="389" spans="2:11">
      <c r="B389" s="35"/>
      <c r="K389" s="36"/>
    </row>
    <row r="390" spans="2:11">
      <c r="B390" s="35"/>
      <c r="K390" s="36"/>
    </row>
    <row r="391" spans="2:11">
      <c r="B391" s="35"/>
      <c r="K391" s="36"/>
    </row>
    <row r="392" spans="2:11">
      <c r="B392" s="35"/>
      <c r="K392" s="36"/>
    </row>
    <row r="393" spans="2:11">
      <c r="B393" s="35"/>
      <c r="K393" s="36"/>
    </row>
    <row r="394" spans="2:11">
      <c r="B394" s="35"/>
      <c r="K394" s="36"/>
    </row>
    <row r="395" spans="2:11">
      <c r="B395" s="35"/>
      <c r="K395" s="36"/>
    </row>
    <row r="396" spans="2:11">
      <c r="B396" s="35"/>
      <c r="K396" s="36"/>
    </row>
    <row r="397" spans="2:11">
      <c r="B397" s="35"/>
      <c r="K397" s="36"/>
    </row>
    <row r="398" spans="2:11">
      <c r="B398" s="35"/>
      <c r="K398" s="36"/>
    </row>
    <row r="399" spans="2:11">
      <c r="B399" s="35"/>
      <c r="K399" s="36"/>
    </row>
    <row r="400" spans="2:11">
      <c r="B400" s="35"/>
      <c r="K400" s="36"/>
    </row>
    <row r="401" spans="2:11">
      <c r="B401" s="35"/>
      <c r="K401" s="36"/>
    </row>
    <row r="402" spans="2:11">
      <c r="B402" s="35"/>
      <c r="K402" s="36"/>
    </row>
    <row r="403" spans="2:11">
      <c r="B403" s="35"/>
      <c r="K403" s="36"/>
    </row>
    <row r="404" spans="2:11">
      <c r="B404" s="35"/>
      <c r="K404" s="36"/>
    </row>
    <row r="405" spans="2:11">
      <c r="B405" s="35"/>
      <c r="K405" s="36"/>
    </row>
    <row r="406" spans="2:11">
      <c r="B406" s="35"/>
      <c r="K406" s="36"/>
    </row>
    <row r="407" spans="2:11">
      <c r="B407" s="35"/>
      <c r="K407" s="36"/>
    </row>
    <row r="408" spans="2:11">
      <c r="B408" s="35"/>
      <c r="K408" s="36"/>
    </row>
    <row r="409" spans="2:11">
      <c r="B409" s="35"/>
      <c r="K409" s="36"/>
    </row>
    <row r="410" spans="2:11">
      <c r="B410" s="35"/>
      <c r="K410" s="36"/>
    </row>
    <row r="411" spans="2:11">
      <c r="B411" s="35"/>
      <c r="K411" s="36"/>
    </row>
    <row r="412" spans="2:11">
      <c r="B412" s="35"/>
      <c r="K412" s="36"/>
    </row>
    <row r="413" spans="2:11">
      <c r="B413" s="35"/>
      <c r="K413" s="36"/>
    </row>
    <row r="414" spans="2:11">
      <c r="B414" s="35"/>
      <c r="K414" s="36"/>
    </row>
    <row r="415" spans="2:11">
      <c r="B415" s="35"/>
      <c r="K415" s="36"/>
    </row>
    <row r="416" spans="2:11">
      <c r="B416" s="35"/>
      <c r="K416" s="36"/>
    </row>
    <row r="417" spans="2:11">
      <c r="B417" s="35"/>
      <c r="K417" s="36"/>
    </row>
    <row r="418" spans="2:11">
      <c r="B418" s="35"/>
      <c r="K418" s="36"/>
    </row>
    <row r="419" spans="2:11">
      <c r="B419" s="35"/>
      <c r="K419" s="36"/>
    </row>
    <row r="420" spans="2:11">
      <c r="B420" s="35"/>
      <c r="K420" s="36"/>
    </row>
    <row r="421" spans="2:11">
      <c r="B421" s="35"/>
      <c r="K421" s="36"/>
    </row>
    <row r="422" spans="2:11">
      <c r="B422" s="35"/>
      <c r="K422" s="36"/>
    </row>
    <row r="423" spans="2:11">
      <c r="B423" s="35"/>
      <c r="K423" s="36"/>
    </row>
    <row r="424" spans="2:11">
      <c r="B424" s="35"/>
      <c r="K424" s="36"/>
    </row>
    <row r="425" spans="2:11">
      <c r="B425" s="35"/>
      <c r="K425" s="36"/>
    </row>
    <row r="426" spans="2:11">
      <c r="B426" s="35"/>
      <c r="K426" s="36"/>
    </row>
    <row r="427" spans="2:11">
      <c r="B427" s="35"/>
      <c r="K427" s="36"/>
    </row>
    <row r="428" spans="2:11">
      <c r="B428" s="35"/>
      <c r="K428" s="36"/>
    </row>
    <row r="429" spans="2:11">
      <c r="B429" s="35"/>
      <c r="K429" s="36"/>
    </row>
    <row r="430" spans="2:11">
      <c r="B430" s="35"/>
      <c r="K430" s="36"/>
    </row>
    <row r="431" spans="2:11">
      <c r="B431" s="35"/>
      <c r="K431" s="36"/>
    </row>
    <row r="432" spans="2:11">
      <c r="B432" s="35"/>
      <c r="K432" s="36"/>
    </row>
    <row r="433" spans="2:11">
      <c r="B433" s="35"/>
      <c r="K433" s="36"/>
    </row>
    <row r="434" spans="2:11">
      <c r="B434" s="35"/>
      <c r="K434" s="36"/>
    </row>
    <row r="435" spans="2:11">
      <c r="B435" s="35"/>
      <c r="K435" s="36"/>
    </row>
    <row r="436" spans="2:11">
      <c r="B436" s="35"/>
      <c r="K436" s="36"/>
    </row>
    <row r="437" spans="2:11">
      <c r="B437" s="35"/>
      <c r="K437" s="36"/>
    </row>
    <row r="438" spans="2:11">
      <c r="B438" s="35"/>
      <c r="K438" s="36"/>
    </row>
    <row r="439" spans="2:11">
      <c r="B439" s="35"/>
      <c r="K439" s="36"/>
    </row>
    <row r="440" spans="2:11">
      <c r="B440" s="35"/>
      <c r="K440" s="36"/>
    </row>
    <row r="441" spans="2:11">
      <c r="B441" s="35"/>
      <c r="K441" s="36"/>
    </row>
    <row r="442" spans="2:11">
      <c r="B442" s="35"/>
      <c r="K442" s="36"/>
    </row>
    <row r="443" spans="2:11">
      <c r="B443" s="35"/>
      <c r="K443" s="36"/>
    </row>
    <row r="444" spans="2:11">
      <c r="B444" s="35"/>
      <c r="K444" s="36"/>
    </row>
    <row r="445" spans="2:11">
      <c r="B445" s="35"/>
      <c r="K445" s="36"/>
    </row>
    <row r="446" spans="2:11">
      <c r="B446" s="35"/>
      <c r="K446" s="36"/>
    </row>
    <row r="447" spans="2:11">
      <c r="B447" s="35"/>
      <c r="K447" s="36"/>
    </row>
    <row r="448" spans="2:11">
      <c r="B448" s="35"/>
      <c r="K448" s="36"/>
    </row>
    <row r="449" spans="2:11">
      <c r="B449" s="35"/>
      <c r="K449" s="36"/>
    </row>
    <row r="450" spans="2:11">
      <c r="B450" s="35"/>
      <c r="K450" s="36"/>
    </row>
    <row r="451" spans="2:11">
      <c r="B451" s="35"/>
      <c r="K451" s="36"/>
    </row>
    <row r="452" spans="2:11">
      <c r="B452" s="35"/>
      <c r="K452" s="36"/>
    </row>
    <row r="453" spans="2:11">
      <c r="B453" s="35"/>
      <c r="K453" s="36"/>
    </row>
    <row r="454" spans="2:11">
      <c r="B454" s="35"/>
      <c r="K454" s="36"/>
    </row>
    <row r="455" spans="2:11">
      <c r="B455" s="35"/>
      <c r="K455" s="36"/>
    </row>
    <row r="456" spans="2:11">
      <c r="B456" s="35"/>
      <c r="K456" s="36"/>
    </row>
    <row r="457" spans="2:11">
      <c r="B457" s="35"/>
      <c r="K457" s="36"/>
    </row>
    <row r="458" spans="2:11">
      <c r="B458" s="35"/>
      <c r="K458" s="36"/>
    </row>
    <row r="459" spans="2:11">
      <c r="B459" s="35"/>
      <c r="K459" s="36"/>
    </row>
    <row r="460" spans="2:11">
      <c r="B460" s="35"/>
      <c r="K460" s="36"/>
    </row>
    <row r="461" spans="2:11">
      <c r="B461" s="35"/>
      <c r="K461" s="36"/>
    </row>
    <row r="462" spans="2:11">
      <c r="B462" s="35"/>
      <c r="K462" s="36"/>
    </row>
    <row r="463" spans="2:11">
      <c r="B463" s="35"/>
      <c r="K463" s="36"/>
    </row>
    <row r="464" spans="2:11">
      <c r="B464" s="35"/>
      <c r="K464" s="36"/>
    </row>
    <row r="465" spans="2:11">
      <c r="B465" s="35"/>
      <c r="K465" s="36"/>
    </row>
    <row r="466" spans="2:11">
      <c r="B466" s="35"/>
      <c r="K466" s="36"/>
    </row>
    <row r="467" spans="2:11">
      <c r="B467" s="35"/>
      <c r="K467" s="36"/>
    </row>
    <row r="468" spans="2:11">
      <c r="B468" s="35"/>
      <c r="K468" s="36"/>
    </row>
    <row r="469" spans="2:11">
      <c r="B469" s="35"/>
      <c r="K469" s="36"/>
    </row>
    <row r="470" spans="2:11">
      <c r="B470" s="35"/>
      <c r="K470" s="36"/>
    </row>
    <row r="471" spans="2:11">
      <c r="B471" s="35"/>
      <c r="K471" s="36"/>
    </row>
    <row r="472" spans="2:11">
      <c r="B472" s="35"/>
      <c r="K472" s="36"/>
    </row>
    <row r="473" spans="2:11">
      <c r="B473" s="35"/>
      <c r="K473" s="36"/>
    </row>
    <row r="474" spans="2:11">
      <c r="B474" s="35"/>
      <c r="K474" s="36"/>
    </row>
    <row r="475" spans="2:11">
      <c r="B475" s="35"/>
      <c r="K475" s="36"/>
    </row>
    <row r="476" spans="2:11">
      <c r="B476" s="35"/>
      <c r="K476" s="36"/>
    </row>
    <row r="477" spans="2:11">
      <c r="B477" s="35"/>
      <c r="K477" s="36"/>
    </row>
    <row r="478" spans="2:11">
      <c r="B478" s="35"/>
      <c r="K478" s="36"/>
    </row>
    <row r="479" spans="2:11">
      <c r="B479" s="35"/>
      <c r="K479" s="36"/>
    </row>
    <row r="480" spans="2:11">
      <c r="B480" s="35"/>
      <c r="K480" s="36"/>
    </row>
    <row r="481" spans="2:11">
      <c r="B481" s="35"/>
      <c r="K481" s="36"/>
    </row>
    <row r="482" spans="2:11">
      <c r="B482" s="35"/>
      <c r="K482" s="36"/>
    </row>
    <row r="483" spans="2:11">
      <c r="B483" s="35"/>
      <c r="K483" s="36"/>
    </row>
    <row r="484" spans="2:11">
      <c r="B484" s="35"/>
      <c r="K484" s="36"/>
    </row>
    <row r="485" spans="2:11">
      <c r="B485" s="35"/>
      <c r="K485" s="36"/>
    </row>
    <row r="486" spans="2:11">
      <c r="B486" s="35"/>
      <c r="K486" s="36"/>
    </row>
    <row r="487" spans="2:11">
      <c r="B487" s="35"/>
      <c r="K487" s="36"/>
    </row>
    <row r="488" spans="2:11">
      <c r="B488" s="35"/>
      <c r="K488" s="36"/>
    </row>
    <row r="489" spans="2:11">
      <c r="B489" s="35"/>
      <c r="K489" s="36"/>
    </row>
    <row r="490" spans="2:11">
      <c r="B490" s="35"/>
      <c r="K490" s="36"/>
    </row>
    <row r="491" spans="2:11">
      <c r="B491" s="35"/>
      <c r="K491" s="36"/>
    </row>
    <row r="492" spans="2:11">
      <c r="B492" s="35"/>
      <c r="K492" s="36"/>
    </row>
    <row r="493" spans="2:11">
      <c r="B493" s="35"/>
      <c r="K493" s="36"/>
    </row>
    <row r="494" spans="2:11">
      <c r="B494" s="35"/>
      <c r="K494" s="36"/>
    </row>
    <row r="495" spans="2:11">
      <c r="B495" s="35"/>
      <c r="K495" s="36"/>
    </row>
    <row r="496" spans="2:11">
      <c r="B496" s="35"/>
      <c r="K496" s="36"/>
    </row>
    <row r="497" spans="2:11">
      <c r="B497" s="35"/>
      <c r="K497" s="36"/>
    </row>
    <row r="498" spans="2:11">
      <c r="B498" s="35"/>
      <c r="K498" s="36"/>
    </row>
    <row r="499" spans="2:11">
      <c r="B499" s="35"/>
      <c r="K499" s="36"/>
    </row>
    <row r="500" spans="2:11">
      <c r="B500" s="35"/>
      <c r="K500" s="36"/>
    </row>
    <row r="501" spans="2:11">
      <c r="B501" s="35"/>
      <c r="K501" s="36"/>
    </row>
    <row r="502" spans="2:11">
      <c r="B502" s="35"/>
      <c r="K502" s="36"/>
    </row>
    <row r="503" spans="2:11">
      <c r="B503" s="35"/>
      <c r="K503" s="36"/>
    </row>
    <row r="504" spans="2:11">
      <c r="B504" s="35"/>
      <c r="K504" s="36"/>
    </row>
    <row r="505" spans="2:11">
      <c r="B505" s="35"/>
      <c r="K505" s="36"/>
    </row>
    <row r="506" spans="2:11">
      <c r="B506" s="35"/>
      <c r="K506" s="36"/>
    </row>
    <row r="507" spans="2:11">
      <c r="B507" s="35"/>
      <c r="K507" s="36"/>
    </row>
    <row r="508" spans="2:11">
      <c r="B508" s="35"/>
      <c r="K508" s="36"/>
    </row>
    <row r="509" spans="2:11">
      <c r="B509" s="35"/>
      <c r="K509" s="36"/>
    </row>
    <row r="510" spans="2:11">
      <c r="B510" s="35"/>
      <c r="K510" s="36"/>
    </row>
    <row r="511" spans="2:11">
      <c r="B511" s="35"/>
      <c r="K511" s="36"/>
    </row>
    <row r="512" spans="2:11">
      <c r="B512" s="35"/>
      <c r="K512" s="36"/>
    </row>
    <row r="513" spans="2:11">
      <c r="B513" s="35"/>
      <c r="K513" s="36"/>
    </row>
    <row r="514" spans="2:11">
      <c r="B514" s="35"/>
      <c r="K514" s="36"/>
    </row>
    <row r="515" spans="2:11">
      <c r="B515" s="35"/>
      <c r="K515" s="36"/>
    </row>
    <row r="516" spans="2:11">
      <c r="B516" s="35"/>
      <c r="K516" s="36"/>
    </row>
    <row r="517" spans="2:11">
      <c r="B517" s="35"/>
      <c r="K517" s="36"/>
    </row>
    <row r="518" spans="2:11">
      <c r="B518" s="35"/>
      <c r="K518" s="36"/>
    </row>
    <row r="519" spans="2:11">
      <c r="B519" s="35"/>
      <c r="K519" s="36"/>
    </row>
    <row r="520" spans="2:11">
      <c r="B520" s="35"/>
      <c r="K520" s="36"/>
    </row>
    <row r="521" spans="2:11">
      <c r="B521" s="35"/>
      <c r="K521" s="36"/>
    </row>
    <row r="522" spans="2:11">
      <c r="B522" s="35"/>
      <c r="K522" s="36"/>
    </row>
    <row r="523" spans="2:11">
      <c r="B523" s="35"/>
      <c r="K523" s="36"/>
    </row>
    <row r="524" spans="2:11">
      <c r="B524" s="35"/>
      <c r="K524" s="36"/>
    </row>
    <row r="525" spans="2:11">
      <c r="B525" s="35"/>
      <c r="K525" s="36"/>
    </row>
    <row r="526" spans="2:11">
      <c r="B526" s="35"/>
      <c r="K526" s="36"/>
    </row>
    <row r="527" spans="2:11">
      <c r="B527" s="35"/>
      <c r="K527" s="36"/>
    </row>
    <row r="528" spans="2:11">
      <c r="B528" s="35"/>
      <c r="K528" s="36"/>
    </row>
    <row r="529" spans="2:11">
      <c r="B529" s="35"/>
      <c r="K529" s="36"/>
    </row>
    <row r="530" spans="2:11">
      <c r="B530" s="35"/>
      <c r="K530" s="36"/>
    </row>
    <row r="531" spans="2:11">
      <c r="B531" s="35"/>
      <c r="K531" s="36"/>
    </row>
    <row r="532" spans="2:11">
      <c r="B532" s="35"/>
      <c r="K532" s="36"/>
    </row>
    <row r="533" spans="2:11">
      <c r="B533" s="35"/>
      <c r="K533" s="36"/>
    </row>
    <row r="534" spans="2:11">
      <c r="B534" s="35"/>
      <c r="K534" s="36"/>
    </row>
    <row r="535" spans="2:11">
      <c r="B535" s="35"/>
      <c r="K535" s="36"/>
    </row>
    <row r="536" spans="2:11">
      <c r="B536" s="35"/>
      <c r="K536" s="36"/>
    </row>
    <row r="537" spans="2:11">
      <c r="B537" s="35"/>
      <c r="K537" s="36"/>
    </row>
    <row r="538" spans="2:11">
      <c r="B538" s="35"/>
      <c r="K538" s="36"/>
    </row>
    <row r="539" spans="2:11">
      <c r="B539" s="35"/>
      <c r="K539" s="36"/>
    </row>
    <row r="540" spans="2:11">
      <c r="B540" s="35"/>
      <c r="K540" s="36"/>
    </row>
    <row r="541" spans="2:11">
      <c r="B541" s="35"/>
      <c r="K541" s="36"/>
    </row>
    <row r="542" spans="2:11">
      <c r="B542" s="35"/>
      <c r="K542" s="36"/>
    </row>
    <row r="543" spans="2:11">
      <c r="B543" s="35"/>
      <c r="K543" s="36"/>
    </row>
    <row r="544" spans="2:11">
      <c r="B544" s="35"/>
      <c r="K544" s="36"/>
    </row>
    <row r="545" spans="2:11">
      <c r="B545" s="35"/>
      <c r="K545" s="36"/>
    </row>
    <row r="546" spans="2:11">
      <c r="B546" s="35"/>
      <c r="K546" s="36"/>
    </row>
    <row r="547" spans="2:11">
      <c r="B547" s="35"/>
      <c r="K547" s="36"/>
    </row>
    <row r="548" spans="2:11">
      <c r="B548" s="35"/>
      <c r="K548" s="36"/>
    </row>
    <row r="549" spans="2:11">
      <c r="B549" s="35"/>
      <c r="K549" s="36"/>
    </row>
    <row r="550" spans="2:11">
      <c r="B550" s="35"/>
      <c r="K550" s="36"/>
    </row>
    <row r="551" spans="2:11">
      <c r="B551" s="35"/>
      <c r="K551" s="36"/>
    </row>
    <row r="552" spans="2:11">
      <c r="B552" s="35"/>
      <c r="K552" s="36"/>
    </row>
    <row r="553" spans="2:11">
      <c r="B553" s="35"/>
      <c r="K553" s="36"/>
    </row>
    <row r="554" spans="2:11">
      <c r="B554" s="35"/>
      <c r="K554" s="36"/>
    </row>
    <row r="555" spans="2:11">
      <c r="B555" s="35"/>
      <c r="K555" s="36"/>
    </row>
    <row r="556" spans="2:11">
      <c r="B556" s="35"/>
      <c r="K556" s="36"/>
    </row>
    <row r="557" spans="2:11">
      <c r="B557" s="35"/>
      <c r="K557" s="36"/>
    </row>
    <row r="558" spans="2:11">
      <c r="B558" s="35"/>
      <c r="K558" s="36"/>
    </row>
    <row r="559" spans="2:11">
      <c r="B559" s="35"/>
      <c r="K559" s="36"/>
    </row>
    <row r="560" spans="2:11">
      <c r="B560" s="35"/>
      <c r="K560" s="36"/>
    </row>
    <row r="561" spans="2:11">
      <c r="B561" s="35"/>
      <c r="K561" s="36"/>
    </row>
    <row r="562" spans="2:11">
      <c r="B562" s="35"/>
      <c r="K562" s="36"/>
    </row>
    <row r="563" spans="2:11">
      <c r="B563" s="35"/>
      <c r="K563" s="36"/>
    </row>
    <row r="564" spans="2:11">
      <c r="B564" s="35"/>
      <c r="K564" s="36"/>
    </row>
    <row r="565" spans="2:11">
      <c r="B565" s="35"/>
      <c r="K565" s="36"/>
    </row>
    <row r="566" spans="2:11">
      <c r="B566" s="35"/>
      <c r="K566" s="36"/>
    </row>
    <row r="567" spans="2:11">
      <c r="B567" s="35"/>
      <c r="K567" s="36"/>
    </row>
    <row r="568" spans="2:11">
      <c r="B568" s="35"/>
      <c r="K568" s="36"/>
    </row>
    <row r="569" spans="2:11">
      <c r="B569" s="35"/>
      <c r="K569" s="36"/>
    </row>
    <row r="570" spans="2:11">
      <c r="B570" s="35"/>
      <c r="K570" s="36"/>
    </row>
    <row r="571" spans="2:11">
      <c r="B571" s="35"/>
      <c r="K571" s="36"/>
    </row>
    <row r="572" spans="2:11">
      <c r="B572" s="35"/>
      <c r="K572" s="36"/>
    </row>
    <row r="573" spans="2:11">
      <c r="B573" s="35"/>
      <c r="K573" s="36"/>
    </row>
    <row r="574" spans="2:11">
      <c r="B574" s="35"/>
      <c r="K574" s="36"/>
    </row>
    <row r="575" spans="2:11">
      <c r="B575" s="35"/>
      <c r="K575" s="36"/>
    </row>
    <row r="576" spans="2:11">
      <c r="B576" s="35"/>
      <c r="K576" s="36"/>
    </row>
    <row r="577" spans="2:11">
      <c r="B577" s="35"/>
      <c r="K577" s="36"/>
    </row>
    <row r="578" spans="2:11">
      <c r="B578" s="35"/>
      <c r="K578" s="36"/>
    </row>
    <row r="579" spans="2:11">
      <c r="B579" s="35"/>
      <c r="K579" s="36"/>
    </row>
    <row r="580" spans="2:11">
      <c r="B580" s="35"/>
      <c r="K580" s="36"/>
    </row>
    <row r="581" spans="2:11">
      <c r="B581" s="35"/>
      <c r="K581" s="36"/>
    </row>
    <row r="582" spans="2:11">
      <c r="B582" s="35"/>
      <c r="K582" s="36"/>
    </row>
    <row r="583" spans="2:11">
      <c r="B583" s="35"/>
      <c r="K583" s="36"/>
    </row>
    <row r="584" spans="2:11">
      <c r="B584" s="35"/>
      <c r="K584" s="36"/>
    </row>
    <row r="585" spans="2:11">
      <c r="B585" s="35"/>
      <c r="K585" s="36"/>
    </row>
    <row r="586" spans="2:11">
      <c r="B586" s="35"/>
      <c r="K586" s="36"/>
    </row>
    <row r="587" spans="2:11">
      <c r="B587" s="35"/>
      <c r="K587" s="36"/>
    </row>
    <row r="588" spans="2:11">
      <c r="B588" s="35"/>
      <c r="K588" s="36"/>
    </row>
    <row r="589" spans="2:11">
      <c r="B589" s="35"/>
      <c r="K589" s="36"/>
    </row>
    <row r="590" spans="2:11">
      <c r="B590" s="35"/>
      <c r="K590" s="36"/>
    </row>
    <row r="591" spans="2:11">
      <c r="B591" s="35"/>
      <c r="K591" s="36"/>
    </row>
    <row r="592" spans="2:11">
      <c r="B592" s="35"/>
      <c r="K592" s="36"/>
    </row>
    <row r="593" spans="2:11">
      <c r="B593" s="35"/>
      <c r="K593" s="36"/>
    </row>
    <row r="594" spans="2:11">
      <c r="B594" s="35"/>
      <c r="K594" s="36"/>
    </row>
    <row r="595" spans="2:11">
      <c r="B595" s="35"/>
      <c r="K595" s="36"/>
    </row>
    <row r="596" spans="2:11">
      <c r="B596" s="35"/>
      <c r="K596" s="36"/>
    </row>
    <row r="597" spans="2:11">
      <c r="B597" s="35"/>
      <c r="K597" s="36"/>
    </row>
    <row r="598" spans="2:11">
      <c r="B598" s="35"/>
      <c r="K598" s="36"/>
    </row>
    <row r="599" spans="2:11">
      <c r="B599" s="35"/>
      <c r="K599" s="36"/>
    </row>
    <row r="600" spans="2:11">
      <c r="B600" s="35"/>
      <c r="K600" s="36"/>
    </row>
    <row r="601" spans="2:11">
      <c r="B601" s="35"/>
      <c r="K601" s="36"/>
    </row>
    <row r="602" spans="2:11">
      <c r="B602" s="35"/>
      <c r="K602" s="36"/>
    </row>
    <row r="603" spans="2:11">
      <c r="B603" s="35"/>
      <c r="K603" s="36"/>
    </row>
    <row r="604" spans="2:11">
      <c r="B604" s="35"/>
      <c r="K604" s="36"/>
    </row>
    <row r="605" spans="2:11">
      <c r="B605" s="35"/>
      <c r="K605" s="36"/>
    </row>
    <row r="606" spans="2:11">
      <c r="B606" s="35"/>
      <c r="K606" s="36"/>
    </row>
    <row r="607" spans="2:11">
      <c r="B607" s="35"/>
      <c r="K607" s="36"/>
    </row>
    <row r="608" spans="2:11">
      <c r="B608" s="35"/>
      <c r="K608" s="36"/>
    </row>
    <row r="609" spans="2:11">
      <c r="B609" s="35"/>
      <c r="K609" s="36"/>
    </row>
    <row r="610" spans="2:11">
      <c r="B610" s="35"/>
      <c r="K610" s="36"/>
    </row>
    <row r="611" spans="2:11">
      <c r="B611" s="35"/>
      <c r="K611" s="36"/>
    </row>
    <row r="612" spans="2:11">
      <c r="B612" s="35"/>
      <c r="K612" s="36"/>
    </row>
    <row r="613" spans="2:11">
      <c r="B613" s="35"/>
      <c r="K613" s="36"/>
    </row>
    <row r="614" spans="2:11">
      <c r="B614" s="35"/>
      <c r="K614" s="36"/>
    </row>
    <row r="615" spans="2:11">
      <c r="B615" s="35"/>
      <c r="K615" s="36"/>
    </row>
    <row r="616" spans="2:11">
      <c r="B616" s="35"/>
      <c r="K616" s="36"/>
    </row>
    <row r="617" spans="2:11">
      <c r="B617" s="35"/>
      <c r="K617" s="36"/>
    </row>
    <row r="618" spans="2:11">
      <c r="B618" s="35"/>
      <c r="K618" s="36"/>
    </row>
    <row r="619" spans="2:11">
      <c r="B619" s="35"/>
      <c r="K619" s="36"/>
    </row>
    <row r="620" spans="2:11">
      <c r="B620" s="35"/>
      <c r="K620" s="36"/>
    </row>
    <row r="621" spans="2:11">
      <c r="B621" s="35"/>
      <c r="K621" s="36"/>
    </row>
    <row r="622" spans="2:11">
      <c r="B622" s="35"/>
      <c r="K622" s="36"/>
    </row>
    <row r="623" spans="2:11">
      <c r="B623" s="35"/>
      <c r="K623" s="36"/>
    </row>
    <row r="624" spans="2:11">
      <c r="B624" s="35"/>
      <c r="K624" s="36"/>
    </row>
    <row r="625" spans="2:11">
      <c r="B625" s="35"/>
      <c r="K625" s="36"/>
    </row>
    <row r="626" spans="2:11">
      <c r="B626" s="35"/>
      <c r="K626" s="36"/>
    </row>
    <row r="627" spans="2:11">
      <c r="B627" s="35"/>
      <c r="K627" s="36"/>
    </row>
    <row r="628" spans="2:11">
      <c r="B628" s="35"/>
      <c r="K628" s="36"/>
    </row>
    <row r="629" spans="2:11">
      <c r="B629" s="35"/>
      <c r="K629" s="36"/>
    </row>
    <row r="630" spans="2:11">
      <c r="B630" s="35"/>
      <c r="K630" s="36"/>
    </row>
    <row r="631" spans="2:11">
      <c r="B631" s="35"/>
      <c r="K631" s="36"/>
    </row>
    <row r="632" spans="2:11">
      <c r="B632" s="35"/>
      <c r="K632" s="36"/>
    </row>
    <row r="633" spans="2:11">
      <c r="B633" s="35"/>
      <c r="K633" s="36"/>
    </row>
    <row r="634" spans="2:11">
      <c r="B634" s="35"/>
      <c r="K634" s="36"/>
    </row>
    <row r="635" spans="2:11">
      <c r="B635" s="35"/>
      <c r="K635" s="36"/>
    </row>
    <row r="636" spans="2:11">
      <c r="B636" s="35"/>
      <c r="K636" s="36"/>
    </row>
    <row r="637" spans="2:11">
      <c r="B637" s="35"/>
      <c r="K637" s="36"/>
    </row>
    <row r="638" spans="2:11">
      <c r="B638" s="35"/>
      <c r="K638" s="36"/>
    </row>
    <row r="639" spans="2:11">
      <c r="B639" s="35"/>
      <c r="K639" s="36"/>
    </row>
    <row r="640" spans="2:11">
      <c r="B640" s="35"/>
      <c r="K640" s="36"/>
    </row>
    <row r="641" spans="2:11">
      <c r="B641" s="35"/>
      <c r="K641" s="36"/>
    </row>
    <row r="642" spans="2:11">
      <c r="B642" s="35"/>
      <c r="K642" s="36"/>
    </row>
    <row r="643" spans="2:11">
      <c r="B643" s="35"/>
      <c r="K643" s="36"/>
    </row>
    <row r="644" spans="2:11">
      <c r="B644" s="35"/>
      <c r="K644" s="36"/>
    </row>
    <row r="645" spans="2:11">
      <c r="B645" s="35"/>
      <c r="K645" s="36"/>
    </row>
    <row r="646" spans="2:11">
      <c r="B646" s="35"/>
      <c r="K646" s="36"/>
    </row>
    <row r="647" spans="2:11">
      <c r="B647" s="35"/>
      <c r="K647" s="36"/>
    </row>
    <row r="648" spans="2:11">
      <c r="B648" s="35"/>
      <c r="K648" s="36"/>
    </row>
    <row r="649" spans="2:11">
      <c r="B649" s="35"/>
      <c r="K649" s="36"/>
    </row>
    <row r="650" spans="2:11">
      <c r="B650" s="35"/>
      <c r="K650" s="36"/>
    </row>
    <row r="651" spans="2:11">
      <c r="B651" s="35"/>
      <c r="K651" s="36"/>
    </row>
    <row r="652" spans="2:11">
      <c r="B652" s="35"/>
      <c r="K652" s="36"/>
    </row>
    <row r="653" spans="2:11">
      <c r="B653" s="35"/>
      <c r="K653" s="36"/>
    </row>
    <row r="654" spans="2:11">
      <c r="B654" s="35"/>
      <c r="K654" s="36"/>
    </row>
    <row r="655" spans="2:11">
      <c r="B655" s="35"/>
      <c r="K655" s="36"/>
    </row>
    <row r="656" spans="2:11">
      <c r="B656" s="35"/>
      <c r="K656" s="36"/>
    </row>
    <row r="657" spans="2:11">
      <c r="B657" s="35"/>
      <c r="K657" s="36"/>
    </row>
    <row r="658" spans="2:11">
      <c r="B658" s="35"/>
      <c r="K658" s="36"/>
    </row>
    <row r="659" spans="2:11">
      <c r="B659" s="35"/>
      <c r="K659" s="36"/>
    </row>
    <row r="660" spans="2:11">
      <c r="B660" s="35"/>
      <c r="K660" s="36"/>
    </row>
    <row r="661" spans="2:11">
      <c r="B661" s="35"/>
      <c r="K661" s="36"/>
    </row>
    <row r="662" spans="2:11">
      <c r="B662" s="35"/>
      <c r="K662" s="36"/>
    </row>
    <row r="663" spans="2:11">
      <c r="B663" s="35"/>
      <c r="K663" s="36"/>
    </row>
    <row r="664" spans="2:11">
      <c r="B664" s="35"/>
      <c r="K664" s="36"/>
    </row>
    <row r="665" spans="2:11">
      <c r="B665" s="35"/>
      <c r="K665" s="36"/>
    </row>
    <row r="666" spans="2:11">
      <c r="B666" s="35"/>
      <c r="K666" s="36"/>
    </row>
    <row r="667" spans="2:11">
      <c r="B667" s="35"/>
      <c r="K667" s="36"/>
    </row>
    <row r="668" spans="2:11">
      <c r="B668" s="35"/>
      <c r="K668" s="36"/>
    </row>
    <row r="669" spans="2:11">
      <c r="B669" s="35"/>
      <c r="K669" s="36"/>
    </row>
    <row r="670" spans="2:11">
      <c r="B670" s="35"/>
      <c r="K670" s="36"/>
    </row>
    <row r="671" spans="2:11">
      <c r="B671" s="35"/>
      <c r="K671" s="36"/>
    </row>
    <row r="672" spans="2:11">
      <c r="B672" s="35"/>
      <c r="K672" s="36"/>
    </row>
    <row r="673" spans="2:11">
      <c r="B673" s="35"/>
      <c r="K673" s="36"/>
    </row>
    <row r="674" spans="2:11">
      <c r="B674" s="35"/>
      <c r="K674" s="36"/>
    </row>
    <row r="675" spans="2:11">
      <c r="B675" s="35"/>
      <c r="K675" s="36"/>
    </row>
    <row r="676" spans="2:11">
      <c r="B676" s="35"/>
      <c r="K676" s="36"/>
    </row>
    <row r="677" spans="2:11">
      <c r="B677" s="35"/>
      <c r="K677" s="36"/>
    </row>
    <row r="678" spans="2:11">
      <c r="B678" s="35"/>
      <c r="K678" s="36"/>
    </row>
    <row r="679" spans="2:11">
      <c r="B679" s="35"/>
      <c r="K679" s="36"/>
    </row>
    <row r="680" spans="2:11">
      <c r="B680" s="35"/>
      <c r="K680" s="36"/>
    </row>
    <row r="681" spans="2:11">
      <c r="B681" s="35"/>
      <c r="K681" s="36"/>
    </row>
    <row r="682" spans="2:11">
      <c r="B682" s="35"/>
      <c r="K682" s="36"/>
    </row>
    <row r="683" spans="2:11">
      <c r="B683" s="35"/>
      <c r="K683" s="36"/>
    </row>
    <row r="684" spans="2:11">
      <c r="B684" s="35"/>
      <c r="K684" s="36"/>
    </row>
    <row r="685" spans="2:11">
      <c r="B685" s="35"/>
      <c r="K685" s="36"/>
    </row>
    <row r="686" spans="2:11">
      <c r="B686" s="35"/>
      <c r="K686" s="36"/>
    </row>
    <row r="687" spans="2:11">
      <c r="B687" s="35"/>
      <c r="K687" s="36"/>
    </row>
    <row r="688" spans="2:11">
      <c r="B688" s="35"/>
      <c r="K688" s="36"/>
    </row>
    <row r="689" spans="2:11">
      <c r="B689" s="35"/>
      <c r="K689" s="36"/>
    </row>
    <row r="690" spans="2:11">
      <c r="B690" s="35"/>
      <c r="K690" s="36"/>
    </row>
    <row r="691" spans="2:11">
      <c r="B691" s="35"/>
      <c r="K691" s="36"/>
    </row>
    <row r="692" spans="2:11">
      <c r="B692" s="35"/>
      <c r="K692" s="36"/>
    </row>
    <row r="693" spans="2:11">
      <c r="B693" s="35"/>
      <c r="K693" s="36"/>
    </row>
    <row r="694" spans="2:11">
      <c r="B694" s="35"/>
      <c r="K694" s="36"/>
    </row>
    <row r="695" spans="2:11">
      <c r="B695" s="35"/>
      <c r="K695" s="36"/>
    </row>
    <row r="696" spans="2:11">
      <c r="B696" s="35"/>
      <c r="K696" s="36"/>
    </row>
    <row r="697" spans="2:11">
      <c r="B697" s="35"/>
      <c r="K697" s="36"/>
    </row>
    <row r="698" spans="2:11">
      <c r="B698" s="35"/>
      <c r="K698" s="36"/>
    </row>
    <row r="699" spans="2:11">
      <c r="B699" s="35"/>
      <c r="K699" s="36"/>
    </row>
    <row r="700" spans="2:11">
      <c r="B700" s="35"/>
      <c r="K700" s="36"/>
    </row>
    <row r="701" spans="2:11">
      <c r="B701" s="35"/>
      <c r="K701" s="36"/>
    </row>
    <row r="702" spans="2:11">
      <c r="B702" s="35"/>
      <c r="K702" s="36"/>
    </row>
    <row r="703" spans="2:11">
      <c r="B703" s="35"/>
      <c r="K703" s="36"/>
    </row>
    <row r="704" spans="2:11">
      <c r="B704" s="35"/>
      <c r="K704" s="36"/>
    </row>
    <row r="705" spans="2:11">
      <c r="B705" s="35"/>
      <c r="K705" s="36"/>
    </row>
    <row r="706" spans="2:11">
      <c r="B706" s="35"/>
      <c r="K706" s="36"/>
    </row>
    <row r="707" spans="2:11">
      <c r="B707" s="35"/>
      <c r="K707" s="36"/>
    </row>
    <row r="708" spans="2:11">
      <c r="B708" s="35"/>
      <c r="K708" s="36"/>
    </row>
    <row r="709" spans="2:11">
      <c r="B709" s="35"/>
      <c r="K709" s="36"/>
    </row>
    <row r="710" spans="2:11">
      <c r="B710" s="35"/>
      <c r="K710" s="36"/>
    </row>
    <row r="711" spans="2:11">
      <c r="B711" s="35"/>
      <c r="K711" s="36"/>
    </row>
    <row r="712" spans="2:11">
      <c r="B712" s="35"/>
      <c r="K712" s="36"/>
    </row>
    <row r="713" spans="2:11">
      <c r="B713" s="35"/>
      <c r="K713" s="36"/>
    </row>
    <row r="714" spans="2:11">
      <c r="B714" s="35"/>
      <c r="K714" s="36"/>
    </row>
    <row r="715" spans="2:11">
      <c r="B715" s="35"/>
      <c r="K715" s="36"/>
    </row>
    <row r="716" spans="2:11">
      <c r="B716" s="35"/>
      <c r="K716" s="36"/>
    </row>
    <row r="717" spans="2:11">
      <c r="B717" s="35"/>
      <c r="K717" s="36"/>
    </row>
    <row r="718" spans="2:11">
      <c r="B718" s="35"/>
      <c r="K718" s="36"/>
    </row>
    <row r="719" spans="2:11">
      <c r="B719" s="35"/>
      <c r="K719" s="36"/>
    </row>
    <row r="720" spans="2:11">
      <c r="B720" s="35"/>
      <c r="K720" s="36"/>
    </row>
    <row r="721" spans="2:11">
      <c r="B721" s="35"/>
      <c r="K721" s="36"/>
    </row>
    <row r="722" spans="2:11">
      <c r="B722" s="35"/>
      <c r="K722" s="36"/>
    </row>
    <row r="723" spans="2:11">
      <c r="B723" s="35"/>
      <c r="K723" s="36"/>
    </row>
    <row r="724" spans="2:11">
      <c r="B724" s="35"/>
      <c r="K724" s="36"/>
    </row>
    <row r="725" spans="2:11">
      <c r="B725" s="35"/>
      <c r="K725" s="36"/>
    </row>
    <row r="726" spans="2:11">
      <c r="B726" s="35"/>
      <c r="K726" s="36"/>
    </row>
    <row r="727" spans="2:11">
      <c r="B727" s="35"/>
      <c r="K727" s="36"/>
    </row>
    <row r="728" spans="2:11">
      <c r="B728" s="35"/>
      <c r="K728" s="36"/>
    </row>
    <row r="729" spans="2:11">
      <c r="B729" s="35"/>
      <c r="K729" s="36"/>
    </row>
    <row r="730" spans="2:11">
      <c r="B730" s="35"/>
      <c r="K730" s="36"/>
    </row>
    <row r="731" spans="2:11">
      <c r="B731" s="35"/>
      <c r="K731" s="36"/>
    </row>
    <row r="732" spans="2:11">
      <c r="B732" s="35"/>
      <c r="K732" s="36"/>
    </row>
    <row r="733" spans="2:11">
      <c r="B733" s="35"/>
      <c r="K733" s="36"/>
    </row>
    <row r="734" spans="2:11">
      <c r="B734" s="35"/>
      <c r="K734" s="36"/>
    </row>
    <row r="735" spans="2:11">
      <c r="B735" s="35"/>
      <c r="K735" s="36"/>
    </row>
    <row r="736" spans="2:11">
      <c r="B736" s="35"/>
      <c r="K736" s="36"/>
    </row>
    <row r="737" spans="2:11">
      <c r="B737" s="35"/>
      <c r="K737" s="36"/>
    </row>
    <row r="738" spans="2:11">
      <c r="B738" s="35"/>
      <c r="K738" s="36"/>
    </row>
    <row r="739" spans="2:11">
      <c r="B739" s="35"/>
      <c r="K739" s="36"/>
    </row>
    <row r="740" spans="2:11">
      <c r="B740" s="35"/>
      <c r="K740" s="36"/>
    </row>
    <row r="741" spans="2:11">
      <c r="B741" s="35"/>
      <c r="K741" s="36"/>
    </row>
    <row r="742" spans="2:11">
      <c r="B742" s="35"/>
      <c r="K742" s="36"/>
    </row>
    <row r="743" spans="2:11">
      <c r="B743" s="35"/>
      <c r="K743" s="36"/>
    </row>
    <row r="744" spans="2:11">
      <c r="B744" s="35"/>
      <c r="K744" s="36"/>
    </row>
    <row r="745" spans="2:11">
      <c r="B745" s="35"/>
      <c r="K745" s="36"/>
    </row>
    <row r="746" spans="2:11">
      <c r="B746" s="35"/>
      <c r="K746" s="36"/>
    </row>
    <row r="747" spans="2:11">
      <c r="B747" s="35"/>
      <c r="K747" s="36"/>
    </row>
    <row r="748" spans="2:11">
      <c r="B748" s="35"/>
      <c r="K748" s="36"/>
    </row>
    <row r="749" spans="2:11">
      <c r="B749" s="35"/>
      <c r="K749" s="36"/>
    </row>
    <row r="750" spans="2:11">
      <c r="B750" s="35"/>
      <c r="K750" s="36"/>
    </row>
    <row r="751" spans="2:11">
      <c r="B751" s="35"/>
      <c r="K751" s="36"/>
    </row>
    <row r="752" spans="2:11">
      <c r="B752" s="35"/>
      <c r="K752" s="36"/>
    </row>
    <row r="753" spans="2:11">
      <c r="B753" s="35"/>
      <c r="K753" s="36"/>
    </row>
    <row r="754" spans="2:11">
      <c r="B754" s="35"/>
      <c r="K754" s="36"/>
    </row>
    <row r="755" spans="2:11">
      <c r="B755" s="35"/>
      <c r="K755" s="36"/>
    </row>
    <row r="756" spans="2:11">
      <c r="B756" s="35"/>
      <c r="K756" s="36"/>
    </row>
    <row r="757" spans="2:11">
      <c r="B757" s="35"/>
      <c r="K757" s="36"/>
    </row>
    <row r="758" spans="2:11">
      <c r="B758" s="35"/>
      <c r="K758" s="36"/>
    </row>
    <row r="759" spans="2:11">
      <c r="B759" s="35"/>
      <c r="K759" s="36"/>
    </row>
    <row r="760" spans="2:11">
      <c r="B760" s="35"/>
      <c r="K760" s="36"/>
    </row>
    <row r="761" spans="2:11">
      <c r="B761" s="35"/>
      <c r="K761" s="36"/>
    </row>
    <row r="762" spans="2:11">
      <c r="B762" s="35"/>
      <c r="K762" s="36"/>
    </row>
    <row r="763" spans="2:11">
      <c r="B763" s="35"/>
      <c r="K763" s="36"/>
    </row>
    <row r="764" spans="2:11">
      <c r="B764" s="35"/>
      <c r="K764" s="36"/>
    </row>
    <row r="765" spans="2:11">
      <c r="B765" s="35"/>
      <c r="K765" s="36"/>
    </row>
    <row r="766" spans="2:11">
      <c r="B766" s="35"/>
      <c r="K766" s="36"/>
    </row>
    <row r="767" spans="2:11">
      <c r="B767" s="35"/>
      <c r="K767" s="36"/>
    </row>
    <row r="768" spans="2:11">
      <c r="B768" s="35"/>
      <c r="K768" s="36"/>
    </row>
    <row r="769" spans="2:11">
      <c r="B769" s="35"/>
      <c r="K769" s="36"/>
    </row>
    <row r="770" spans="2:11">
      <c r="B770" s="35"/>
      <c r="K770" s="36"/>
    </row>
    <row r="771" spans="2:11">
      <c r="B771" s="35"/>
      <c r="K771" s="36"/>
    </row>
    <row r="772" spans="2:11">
      <c r="B772" s="35"/>
      <c r="K772" s="36"/>
    </row>
    <row r="773" spans="2:11">
      <c r="B773" s="35"/>
      <c r="K773" s="36"/>
    </row>
    <row r="774" spans="2:11">
      <c r="B774" s="35"/>
      <c r="K774" s="36"/>
    </row>
    <row r="775" spans="2:11">
      <c r="B775" s="35"/>
      <c r="K775" s="36"/>
    </row>
    <row r="776" spans="2:11">
      <c r="B776" s="35"/>
      <c r="K776" s="36"/>
    </row>
    <row r="777" spans="2:11">
      <c r="B777" s="35"/>
      <c r="K777" s="36"/>
    </row>
    <row r="778" spans="2:11">
      <c r="B778" s="35"/>
      <c r="K778" s="36"/>
    </row>
    <row r="779" spans="2:11">
      <c r="B779" s="35"/>
      <c r="K779" s="36"/>
    </row>
    <row r="780" spans="2:11">
      <c r="B780" s="35"/>
      <c r="K780" s="36"/>
    </row>
    <row r="781" spans="2:11">
      <c r="B781" s="35"/>
      <c r="K781" s="36"/>
    </row>
    <row r="782" spans="2:11">
      <c r="B782" s="35"/>
      <c r="K782" s="36"/>
    </row>
    <row r="783" spans="2:11">
      <c r="B783" s="35"/>
      <c r="K783" s="36"/>
    </row>
    <row r="784" spans="2:11">
      <c r="B784" s="35"/>
      <c r="K784" s="36"/>
    </row>
    <row r="785" spans="2:11">
      <c r="B785" s="35"/>
      <c r="K785" s="36"/>
    </row>
    <row r="786" spans="2:11">
      <c r="B786" s="35"/>
      <c r="K786" s="36"/>
    </row>
    <row r="787" spans="2:11">
      <c r="B787" s="35"/>
      <c r="K787" s="36"/>
    </row>
    <row r="788" spans="2:11">
      <c r="B788" s="35"/>
      <c r="K788" s="36"/>
    </row>
    <row r="789" spans="2:11">
      <c r="B789" s="35"/>
      <c r="K789" s="36"/>
    </row>
    <row r="790" spans="2:11">
      <c r="B790" s="35"/>
      <c r="K790" s="36"/>
    </row>
    <row r="791" spans="2:11">
      <c r="B791" s="35"/>
      <c r="K791" s="36"/>
    </row>
    <row r="792" spans="2:11">
      <c r="B792" s="35"/>
      <c r="K792" s="36"/>
    </row>
    <row r="793" spans="2:11">
      <c r="B793" s="35"/>
      <c r="K793" s="36"/>
    </row>
    <row r="794" spans="2:11">
      <c r="B794" s="35"/>
      <c r="K794" s="36"/>
    </row>
    <row r="795" spans="2:11">
      <c r="B795" s="35"/>
      <c r="K795" s="36"/>
    </row>
    <row r="796" spans="2:11">
      <c r="B796" s="35"/>
      <c r="K796" s="36"/>
    </row>
    <row r="797" spans="2:11">
      <c r="B797" s="35"/>
      <c r="K797" s="36"/>
    </row>
    <row r="798" spans="2:11">
      <c r="B798" s="35"/>
      <c r="K798" s="36"/>
    </row>
    <row r="799" spans="2:11">
      <c r="B799" s="35"/>
      <c r="K799" s="36"/>
    </row>
    <row r="800" spans="2:11">
      <c r="B800" s="35"/>
      <c r="K800" s="36"/>
    </row>
    <row r="801" spans="2:11">
      <c r="B801" s="35"/>
      <c r="K801" s="36"/>
    </row>
    <row r="802" spans="2:11">
      <c r="B802" s="35"/>
      <c r="K802" s="36"/>
    </row>
    <row r="803" spans="2:11">
      <c r="B803" s="35"/>
      <c r="K803" s="36"/>
    </row>
    <row r="804" spans="2:11">
      <c r="B804" s="35"/>
      <c r="K804" s="36"/>
    </row>
    <row r="805" spans="2:11">
      <c r="B805" s="35"/>
      <c r="K805" s="36"/>
    </row>
    <row r="806" spans="2:11">
      <c r="B806" s="35"/>
      <c r="K806" s="36"/>
    </row>
    <row r="807" spans="2:11">
      <c r="B807" s="35"/>
      <c r="K807" s="36"/>
    </row>
    <row r="808" spans="2:11">
      <c r="B808" s="35"/>
      <c r="K808" s="36"/>
    </row>
    <row r="809" spans="2:11">
      <c r="B809" s="35"/>
      <c r="K809" s="36"/>
    </row>
    <row r="810" spans="2:11">
      <c r="B810" s="35"/>
      <c r="K810" s="36"/>
    </row>
    <row r="811" spans="2:11">
      <c r="B811" s="35"/>
      <c r="K811" s="36"/>
    </row>
    <row r="812" spans="2:11">
      <c r="B812" s="35"/>
      <c r="K812" s="36"/>
    </row>
    <row r="813" spans="2:11">
      <c r="B813" s="35"/>
      <c r="K813" s="36"/>
    </row>
    <row r="814" spans="2:11">
      <c r="B814" s="35"/>
      <c r="K814" s="36"/>
    </row>
    <row r="815" spans="2:11">
      <c r="B815" s="35"/>
      <c r="K815" s="36"/>
    </row>
    <row r="816" spans="2:11">
      <c r="B816" s="35"/>
      <c r="K816" s="36"/>
    </row>
    <row r="817" spans="2:11">
      <c r="B817" s="35"/>
      <c r="K817" s="36"/>
    </row>
    <row r="818" spans="2:11">
      <c r="B818" s="35"/>
      <c r="K818" s="36"/>
    </row>
    <row r="819" spans="2:11">
      <c r="B819" s="35"/>
      <c r="K819" s="36"/>
    </row>
    <row r="820" spans="2:11">
      <c r="B820" s="35"/>
      <c r="K820" s="36"/>
    </row>
    <row r="821" spans="2:11">
      <c r="B821" s="35"/>
      <c r="K821" s="36"/>
    </row>
    <row r="822" spans="2:11">
      <c r="B822" s="35"/>
      <c r="K822" s="36"/>
    </row>
    <row r="823" spans="2:11">
      <c r="B823" s="35"/>
      <c r="K823" s="36"/>
    </row>
    <row r="824" spans="2:11">
      <c r="B824" s="35"/>
      <c r="K824" s="36"/>
    </row>
    <row r="825" spans="2:11">
      <c r="B825" s="35"/>
      <c r="K825" s="36"/>
    </row>
    <row r="826" spans="2:11">
      <c r="B826" s="35"/>
      <c r="K826" s="36"/>
    </row>
    <row r="827" spans="2:11">
      <c r="B827" s="35"/>
      <c r="K827" s="36"/>
    </row>
    <row r="828" spans="2:11">
      <c r="B828" s="35"/>
      <c r="K828" s="36"/>
    </row>
    <row r="829" spans="2:11">
      <c r="B829" s="35"/>
      <c r="K829" s="36"/>
    </row>
    <row r="830" spans="2:11">
      <c r="B830" s="35"/>
      <c r="K830" s="36"/>
    </row>
    <row r="831" spans="2:11">
      <c r="B831" s="35"/>
      <c r="K831" s="36"/>
    </row>
    <row r="832" spans="2:11">
      <c r="B832" s="35"/>
      <c r="K832" s="36"/>
    </row>
    <row r="833" spans="2:11">
      <c r="B833" s="35"/>
      <c r="K833" s="36"/>
    </row>
    <row r="834" spans="2:11">
      <c r="B834" s="35"/>
      <c r="K834" s="36"/>
    </row>
    <row r="835" spans="2:11">
      <c r="B835" s="35"/>
      <c r="K835" s="36"/>
    </row>
    <row r="836" spans="2:11">
      <c r="B836" s="35"/>
      <c r="K836" s="36"/>
    </row>
    <row r="837" spans="2:11">
      <c r="B837" s="35"/>
      <c r="K837" s="36"/>
    </row>
    <row r="838" spans="2:11">
      <c r="B838" s="35"/>
      <c r="K838" s="36"/>
    </row>
    <row r="839" spans="2:11">
      <c r="B839" s="35"/>
      <c r="K839" s="36"/>
    </row>
    <row r="840" spans="2:11">
      <c r="B840" s="35"/>
      <c r="K840" s="36"/>
    </row>
    <row r="841" spans="2:11">
      <c r="B841" s="35"/>
      <c r="K841" s="36"/>
    </row>
    <row r="842" spans="2:11">
      <c r="B842" s="35"/>
      <c r="K842" s="36"/>
    </row>
    <row r="843" spans="2:11">
      <c r="B843" s="35"/>
      <c r="K843" s="36"/>
    </row>
    <row r="844" spans="2:11">
      <c r="B844" s="35"/>
      <c r="K844" s="36"/>
    </row>
    <row r="845" spans="2:11">
      <c r="B845" s="35"/>
      <c r="K845" s="36"/>
    </row>
    <row r="846" spans="2:11">
      <c r="B846" s="35"/>
      <c r="K846" s="36"/>
    </row>
    <row r="847" spans="2:11">
      <c r="B847" s="35"/>
      <c r="K847" s="36"/>
    </row>
    <row r="848" spans="2:11">
      <c r="B848" s="35"/>
      <c r="K848" s="36"/>
    </row>
    <row r="849" spans="2:11">
      <c r="B849" s="35"/>
      <c r="K849" s="36"/>
    </row>
    <row r="850" spans="2:11">
      <c r="B850" s="35"/>
      <c r="K850" s="36"/>
    </row>
    <row r="851" spans="2:11">
      <c r="B851" s="35"/>
      <c r="K851" s="36"/>
    </row>
    <row r="852" spans="2:11">
      <c r="B852" s="35"/>
      <c r="K852" s="36"/>
    </row>
    <row r="853" spans="2:11">
      <c r="B853" s="35"/>
      <c r="K853" s="36"/>
    </row>
    <row r="854" spans="2:11">
      <c r="B854" s="35"/>
      <c r="K854" s="36"/>
    </row>
    <row r="855" spans="2:11">
      <c r="B855" s="35"/>
      <c r="K855" s="36"/>
    </row>
    <row r="856" spans="2:11">
      <c r="B856" s="35"/>
      <c r="K856" s="36"/>
    </row>
    <row r="857" spans="2:11">
      <c r="B857" s="35"/>
      <c r="K857" s="36"/>
    </row>
    <row r="858" spans="2:11">
      <c r="B858" s="35"/>
      <c r="K858" s="36"/>
    </row>
    <row r="859" spans="2:11">
      <c r="B859" s="35"/>
      <c r="K859" s="36"/>
    </row>
    <row r="860" spans="2:11">
      <c r="B860" s="35"/>
      <c r="K860" s="36"/>
    </row>
    <row r="861" spans="2:11">
      <c r="B861" s="35"/>
      <c r="K861" s="36"/>
    </row>
    <row r="862" spans="2:11">
      <c r="B862" s="35"/>
      <c r="K862" s="36"/>
    </row>
    <row r="863" spans="2:11">
      <c r="B863" s="35"/>
      <c r="K863" s="36"/>
    </row>
    <row r="864" spans="2:11">
      <c r="B864" s="35"/>
      <c r="K864" s="36"/>
    </row>
    <row r="865" spans="2:11">
      <c r="B865" s="35"/>
      <c r="K865" s="36"/>
    </row>
    <row r="866" spans="2:11">
      <c r="B866" s="35"/>
      <c r="K866" s="36"/>
    </row>
    <row r="867" spans="2:11">
      <c r="B867" s="35"/>
      <c r="K867" s="36"/>
    </row>
    <row r="868" spans="2:11">
      <c r="B868" s="35"/>
      <c r="K868" s="36"/>
    </row>
    <row r="869" spans="2:11">
      <c r="B869" s="35"/>
      <c r="K869" s="36"/>
    </row>
    <row r="870" spans="2:11">
      <c r="B870" s="35"/>
      <c r="K870" s="36"/>
    </row>
    <row r="871" spans="2:11">
      <c r="B871" s="35"/>
      <c r="K871" s="36"/>
    </row>
    <row r="872" spans="2:11">
      <c r="B872" s="35"/>
      <c r="K872" s="36"/>
    </row>
    <row r="873" spans="2:11">
      <c r="B873" s="35"/>
      <c r="K873" s="36"/>
    </row>
    <row r="874" spans="2:11">
      <c r="B874" s="35"/>
      <c r="K874" s="36"/>
    </row>
    <row r="875" spans="2:11">
      <c r="B875" s="35"/>
      <c r="K875" s="36"/>
    </row>
    <row r="876" spans="2:11">
      <c r="B876" s="35"/>
      <c r="K876" s="36"/>
    </row>
    <row r="877" spans="2:11">
      <c r="B877" s="35"/>
      <c r="K877" s="36"/>
    </row>
    <row r="878" spans="2:11">
      <c r="B878" s="35"/>
      <c r="K878" s="36"/>
    </row>
    <row r="879" spans="2:11">
      <c r="B879" s="35"/>
      <c r="K879" s="36"/>
    </row>
    <row r="880" spans="2:11">
      <c r="B880" s="35"/>
      <c r="K880" s="36"/>
    </row>
    <row r="881" spans="2:11">
      <c r="B881" s="35"/>
      <c r="K881" s="36"/>
    </row>
    <row r="882" spans="2:11">
      <c r="B882" s="35"/>
      <c r="K882" s="36"/>
    </row>
    <row r="883" spans="2:11">
      <c r="B883" s="35"/>
      <c r="K883" s="36"/>
    </row>
    <row r="884" spans="2:11">
      <c r="B884" s="35"/>
      <c r="K884" s="36"/>
    </row>
    <row r="885" spans="2:11">
      <c r="B885" s="35"/>
      <c r="K885" s="36"/>
    </row>
    <row r="886" spans="2:11">
      <c r="B886" s="35"/>
      <c r="K886" s="36"/>
    </row>
    <row r="887" spans="2:11">
      <c r="B887" s="35"/>
      <c r="K887" s="36"/>
    </row>
    <row r="888" spans="2:11">
      <c r="B888" s="35"/>
      <c r="K888" s="36"/>
    </row>
    <row r="889" spans="2:11">
      <c r="B889" s="35"/>
      <c r="K889" s="36"/>
    </row>
    <row r="890" spans="2:11">
      <c r="B890" s="35"/>
      <c r="K890" s="36"/>
    </row>
    <row r="891" spans="2:11">
      <c r="B891" s="35"/>
      <c r="K891" s="36"/>
    </row>
    <row r="892" spans="2:11">
      <c r="B892" s="35"/>
      <c r="K892" s="36"/>
    </row>
    <row r="893" spans="2:11">
      <c r="B893" s="35"/>
      <c r="K893" s="36"/>
    </row>
    <row r="894" spans="2:11">
      <c r="B894" s="35"/>
      <c r="K894" s="36"/>
    </row>
    <row r="895" spans="2:11">
      <c r="B895" s="35"/>
      <c r="K895" s="36"/>
    </row>
    <row r="896" spans="2:11">
      <c r="B896" s="35"/>
      <c r="K896" s="36"/>
    </row>
    <row r="897" spans="2:11">
      <c r="B897" s="35"/>
      <c r="K897" s="36"/>
    </row>
    <row r="898" spans="2:11">
      <c r="B898" s="35"/>
      <c r="K898" s="36"/>
    </row>
    <row r="899" spans="2:11">
      <c r="B899" s="35"/>
      <c r="K899" s="36"/>
    </row>
    <row r="900" spans="2:11">
      <c r="B900" s="35"/>
      <c r="K900" s="36"/>
    </row>
    <row r="901" spans="2:11">
      <c r="B901" s="35"/>
      <c r="K901" s="36"/>
    </row>
    <row r="902" spans="2:11">
      <c r="B902" s="35"/>
      <c r="K902" s="36"/>
    </row>
    <row r="903" spans="2:11">
      <c r="B903" s="35"/>
      <c r="K903" s="36"/>
    </row>
    <row r="904" spans="2:11">
      <c r="B904" s="35"/>
      <c r="K904" s="36"/>
    </row>
    <row r="905" spans="2:11">
      <c r="B905" s="35"/>
      <c r="K905" s="36"/>
    </row>
    <row r="906" spans="2:11">
      <c r="B906" s="35"/>
      <c r="K906" s="36"/>
    </row>
    <row r="907" spans="2:11">
      <c r="B907" s="35"/>
      <c r="K907" s="36"/>
    </row>
    <row r="908" spans="2:11">
      <c r="B908" s="35"/>
      <c r="K908" s="36"/>
    </row>
    <row r="909" spans="2:11">
      <c r="B909" s="35"/>
      <c r="K909" s="36"/>
    </row>
    <row r="910" spans="2:11">
      <c r="B910" s="35"/>
      <c r="K910" s="36"/>
    </row>
    <row r="911" spans="2:11">
      <c r="B911" s="35"/>
      <c r="K911" s="36"/>
    </row>
    <row r="912" spans="2:11">
      <c r="B912" s="35"/>
      <c r="K912" s="36"/>
    </row>
    <row r="913" spans="2:11">
      <c r="B913" s="35"/>
      <c r="K913" s="36"/>
    </row>
    <row r="914" spans="2:11">
      <c r="B914" s="35"/>
      <c r="K914" s="36"/>
    </row>
    <row r="915" spans="2:11">
      <c r="B915" s="35"/>
      <c r="K915" s="36"/>
    </row>
    <row r="916" spans="2:11">
      <c r="B916" s="35"/>
      <c r="K916" s="36"/>
    </row>
    <row r="917" spans="2:11">
      <c r="B917" s="35"/>
      <c r="K917" s="36"/>
    </row>
    <row r="918" spans="2:11">
      <c r="B918" s="35"/>
      <c r="K918" s="36"/>
    </row>
    <row r="919" spans="2:11">
      <c r="B919" s="35"/>
      <c r="K919" s="36"/>
    </row>
    <row r="920" spans="2:11">
      <c r="B920" s="35"/>
      <c r="K920" s="36"/>
    </row>
    <row r="921" spans="2:11">
      <c r="B921" s="35"/>
      <c r="K921" s="36"/>
    </row>
    <row r="922" spans="2:11">
      <c r="B922" s="35"/>
      <c r="K922" s="36"/>
    </row>
    <row r="923" spans="2:11">
      <c r="B923" s="35"/>
      <c r="K923" s="36"/>
    </row>
    <row r="924" spans="2:11">
      <c r="B924" s="35"/>
      <c r="K924" s="36"/>
    </row>
    <row r="925" spans="2:11">
      <c r="B925" s="35"/>
      <c r="K925" s="36"/>
    </row>
    <row r="926" spans="2:11">
      <c r="B926" s="35"/>
      <c r="K926" s="36"/>
    </row>
    <row r="927" spans="2:11">
      <c r="B927" s="35"/>
      <c r="K927" s="36"/>
    </row>
    <row r="928" spans="2:11">
      <c r="B928" s="35"/>
      <c r="K928" s="36"/>
    </row>
    <row r="929" spans="2:11">
      <c r="B929" s="35"/>
      <c r="K929" s="36"/>
    </row>
    <row r="930" spans="2:11">
      <c r="B930" s="35"/>
      <c r="K930" s="36"/>
    </row>
    <row r="931" spans="2:11">
      <c r="B931" s="35"/>
      <c r="K931" s="36"/>
    </row>
    <row r="932" spans="2:11">
      <c r="B932" s="35"/>
      <c r="K932" s="36"/>
    </row>
    <row r="933" spans="2:11">
      <c r="B933" s="35"/>
      <c r="K933" s="36"/>
    </row>
    <row r="934" spans="2:11">
      <c r="B934" s="35"/>
      <c r="K934" s="36"/>
    </row>
    <row r="935" spans="2:11">
      <c r="B935" s="35"/>
      <c r="K935" s="36"/>
    </row>
    <row r="936" spans="2:11">
      <c r="B936" s="35"/>
      <c r="K936" s="36"/>
    </row>
    <row r="937" spans="2:11">
      <c r="B937" s="35"/>
      <c r="K937" s="36"/>
    </row>
    <row r="938" spans="2:11">
      <c r="B938" s="35"/>
      <c r="K938" s="36"/>
    </row>
    <row r="939" spans="2:11">
      <c r="B939" s="35"/>
      <c r="K939" s="36"/>
    </row>
    <row r="940" spans="2:11">
      <c r="B940" s="35"/>
      <c r="K940" s="36"/>
    </row>
    <row r="941" spans="2:11">
      <c r="B941" s="35"/>
      <c r="K941" s="36"/>
    </row>
    <row r="942" spans="2:11">
      <c r="B942" s="35"/>
      <c r="K942" s="36"/>
    </row>
    <row r="943" spans="2:11">
      <c r="B943" s="35"/>
      <c r="K943" s="36"/>
    </row>
    <row r="944" spans="2:11">
      <c r="B944" s="35"/>
      <c r="K944" s="36"/>
    </row>
    <row r="945" spans="2:11">
      <c r="B945" s="35"/>
      <c r="K945" s="36"/>
    </row>
    <row r="946" spans="2:11">
      <c r="B946" s="35"/>
      <c r="K946" s="36"/>
    </row>
    <row r="947" spans="2:11">
      <c r="B947" s="35"/>
      <c r="K947" s="36"/>
    </row>
    <row r="948" spans="2:11">
      <c r="B948" s="35"/>
      <c r="K948" s="36"/>
    </row>
    <row r="949" spans="2:11">
      <c r="B949" s="35"/>
      <c r="K949" s="36"/>
    </row>
    <row r="950" spans="2:11">
      <c r="B950" s="35"/>
      <c r="K950" s="36"/>
    </row>
    <row r="951" spans="2:11">
      <c r="B951" s="35"/>
      <c r="K951" s="36"/>
    </row>
    <row r="952" spans="2:11">
      <c r="B952" s="35"/>
      <c r="K952" s="36"/>
    </row>
    <row r="953" spans="2:11">
      <c r="B953" s="35"/>
      <c r="K953" s="36"/>
    </row>
    <row r="954" spans="2:11">
      <c r="B954" s="35"/>
      <c r="K954" s="36"/>
    </row>
    <row r="955" spans="2:11">
      <c r="B955" s="35"/>
      <c r="K955" s="36"/>
    </row>
    <row r="956" spans="2:11">
      <c r="B956" s="35"/>
      <c r="K956" s="36"/>
    </row>
    <row r="957" spans="2:11">
      <c r="B957" s="35"/>
      <c r="K957" s="36"/>
    </row>
    <row r="958" spans="2:11">
      <c r="B958" s="35"/>
      <c r="K958" s="36"/>
    </row>
    <row r="959" spans="2:11">
      <c r="B959" s="35"/>
      <c r="K959" s="36"/>
    </row>
    <row r="960" spans="2:11">
      <c r="B960" s="35"/>
      <c r="K960" s="36"/>
    </row>
    <row r="961" spans="2:11">
      <c r="B961" s="35"/>
      <c r="K961" s="36"/>
    </row>
    <row r="962" spans="2:11">
      <c r="B962" s="35"/>
      <c r="K962" s="36"/>
    </row>
    <row r="963" spans="2:11">
      <c r="B963" s="35"/>
      <c r="K963" s="36"/>
    </row>
    <row r="964" spans="2:11">
      <c r="B964" s="35"/>
      <c r="K964" s="36"/>
    </row>
    <row r="965" spans="2:11">
      <c r="B965" s="35"/>
      <c r="K965" s="36"/>
    </row>
    <row r="966" spans="2:11">
      <c r="B966" s="35"/>
      <c r="K966" s="36"/>
    </row>
    <row r="967" spans="2:11">
      <c r="B967" s="35"/>
      <c r="K967" s="36"/>
    </row>
    <row r="968" spans="2:11">
      <c r="B968" s="35"/>
      <c r="K968" s="36"/>
    </row>
    <row r="969" spans="2:11">
      <c r="B969" s="35"/>
      <c r="K969" s="36"/>
    </row>
    <row r="970" spans="2:11">
      <c r="B970" s="35"/>
      <c r="K970" s="36"/>
    </row>
    <row r="971" spans="2:11">
      <c r="B971" s="35"/>
      <c r="K971" s="36"/>
    </row>
    <row r="972" spans="2:11">
      <c r="B972" s="35"/>
      <c r="K972" s="36"/>
    </row>
    <row r="973" spans="2:11">
      <c r="B973" s="35"/>
      <c r="K973" s="36"/>
    </row>
    <row r="974" spans="2:11">
      <c r="B974" s="35"/>
      <c r="K974" s="36"/>
    </row>
    <row r="975" spans="2:11">
      <c r="B975" s="35"/>
      <c r="K975" s="36"/>
    </row>
    <row r="976" spans="2:11">
      <c r="B976" s="35"/>
      <c r="K976" s="36"/>
    </row>
    <row r="977" spans="2:11">
      <c r="B977" s="35"/>
      <c r="K977" s="36"/>
    </row>
    <row r="978" spans="2:11">
      <c r="B978" s="35"/>
      <c r="K978" s="36"/>
    </row>
    <row r="979" spans="2:11">
      <c r="B979" s="35"/>
      <c r="K979" s="36"/>
    </row>
    <row r="980" spans="2:11">
      <c r="B980" s="35"/>
      <c r="K980" s="36"/>
    </row>
    <row r="981" spans="2:11">
      <c r="B981" s="35"/>
      <c r="K981" s="36"/>
    </row>
    <row r="982" spans="2:11">
      <c r="B982" s="35"/>
      <c r="K982" s="36"/>
    </row>
    <row r="983" spans="2:11">
      <c r="B983" s="35"/>
      <c r="K983" s="36"/>
    </row>
    <row r="984" spans="2:11">
      <c r="B984" s="35"/>
      <c r="K984" s="36"/>
    </row>
    <row r="985" spans="2:11">
      <c r="B985" s="35"/>
      <c r="K985" s="36"/>
    </row>
    <row r="986" spans="2:11">
      <c r="B986" s="35"/>
      <c r="K986" s="36"/>
    </row>
    <row r="987" spans="2:11">
      <c r="B987" s="35"/>
      <c r="K987" s="36"/>
    </row>
    <row r="988" spans="2:11">
      <c r="B988" s="35"/>
      <c r="K988" s="36"/>
    </row>
    <row r="989" spans="2:11">
      <c r="B989" s="35"/>
      <c r="K989" s="36"/>
    </row>
    <row r="990" spans="2:11">
      <c r="B990" s="35"/>
      <c r="K990" s="36"/>
    </row>
    <row r="991" spans="2:11">
      <c r="B991" s="35"/>
      <c r="K991" s="36"/>
    </row>
    <row r="992" spans="2:11">
      <c r="B992" s="35"/>
      <c r="K992" s="36"/>
    </row>
    <row r="993" spans="2:11">
      <c r="B993" s="35"/>
      <c r="K993" s="36"/>
    </row>
    <row r="994" spans="2:11">
      <c r="B994" s="35"/>
      <c r="K994" s="36"/>
    </row>
    <row r="995" spans="2:11">
      <c r="B995" s="35"/>
      <c r="K995" s="36"/>
    </row>
    <row r="996" spans="2:11">
      <c r="B996" s="35"/>
      <c r="K996" s="36"/>
    </row>
    <row r="997" spans="2:11">
      <c r="B997" s="35"/>
      <c r="K997" s="36"/>
    </row>
    <row r="998" spans="2:11">
      <c r="B998" s="35"/>
      <c r="K998" s="36"/>
    </row>
    <row r="999" spans="2:11">
      <c r="B999" s="35"/>
      <c r="K999" s="36"/>
    </row>
  </sheetData>
  <mergeCells count="1">
    <mergeCell ref="A1:K1"/>
  </mergeCells>
  <hyperlinks>
    <hyperlink ref="A2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Right="0"/>
  </sheetPr>
  <dimension ref="A1:W1001"/>
  <sheetViews>
    <sheetView workbookViewId="0">
      <selection sqref="A1:H1"/>
    </sheetView>
  </sheetViews>
  <sheetFormatPr defaultColWidth="12.6640625" defaultRowHeight="15.75" customHeight="1"/>
  <cols>
    <col min="4" max="4" width="12.6640625" customWidth="1"/>
    <col min="5" max="5" width="14.21875" customWidth="1"/>
    <col min="8" max="8" width="9.6640625" customWidth="1"/>
  </cols>
  <sheetData>
    <row r="1" spans="1:23" ht="15.75" customHeight="1">
      <c r="A1" s="93" t="s">
        <v>93</v>
      </c>
      <c r="B1" s="87"/>
      <c r="C1" s="87"/>
      <c r="D1" s="87"/>
      <c r="E1" s="87"/>
      <c r="F1" s="87"/>
      <c r="G1" s="87"/>
      <c r="H1" s="87"/>
      <c r="I1" s="37"/>
      <c r="J1" s="37"/>
      <c r="K1" s="37"/>
      <c r="L1" s="37"/>
      <c r="M1" s="37"/>
    </row>
    <row r="2" spans="1:23" ht="15.75" customHeight="1">
      <c r="A2" s="94" t="s">
        <v>94</v>
      </c>
      <c r="B2" s="97" t="s">
        <v>95</v>
      </c>
      <c r="C2" s="98" t="s">
        <v>96</v>
      </c>
      <c r="D2" s="99" t="s">
        <v>97</v>
      </c>
      <c r="E2" s="100"/>
      <c r="F2" s="100"/>
      <c r="G2" s="100"/>
      <c r="H2" s="101"/>
      <c r="I2" s="102" t="s">
        <v>98</v>
      </c>
      <c r="J2" s="100"/>
      <c r="K2" s="100"/>
      <c r="L2" s="100"/>
      <c r="M2" s="101"/>
    </row>
    <row r="3" spans="1:23" ht="15.75" customHeight="1">
      <c r="A3" s="95"/>
      <c r="B3" s="95"/>
      <c r="C3" s="95"/>
      <c r="D3" s="38">
        <v>45778</v>
      </c>
      <c r="E3" s="39" t="s">
        <v>99</v>
      </c>
      <c r="F3" s="39" t="s">
        <v>100</v>
      </c>
      <c r="G3" s="40" t="s">
        <v>101</v>
      </c>
      <c r="H3" s="40" t="s">
        <v>102</v>
      </c>
      <c r="I3" s="41">
        <v>45778</v>
      </c>
      <c r="J3" s="42" t="s">
        <v>103</v>
      </c>
      <c r="K3" s="42" t="s">
        <v>100</v>
      </c>
      <c r="L3" s="43" t="s">
        <v>101</v>
      </c>
      <c r="M3" s="43" t="s">
        <v>102</v>
      </c>
    </row>
    <row r="4" spans="1:23" ht="15.75" customHeight="1">
      <c r="A4" s="96"/>
      <c r="B4" s="96"/>
      <c r="C4" s="96"/>
      <c r="D4" s="39" t="s">
        <v>104</v>
      </c>
      <c r="E4" s="39" t="s">
        <v>104</v>
      </c>
      <c r="F4" s="39" t="s">
        <v>105</v>
      </c>
      <c r="G4" s="40" t="s">
        <v>106</v>
      </c>
      <c r="H4" s="40" t="s">
        <v>107</v>
      </c>
      <c r="I4" s="42" t="s">
        <v>104</v>
      </c>
      <c r="J4" s="42" t="s">
        <v>104</v>
      </c>
      <c r="K4" s="42" t="s">
        <v>105</v>
      </c>
      <c r="L4" s="43" t="s">
        <v>106</v>
      </c>
      <c r="M4" s="43" t="s">
        <v>108</v>
      </c>
    </row>
    <row r="5" spans="1:23" ht="15.75" customHeight="1">
      <c r="A5" s="44">
        <v>1</v>
      </c>
      <c r="B5" s="11" t="s">
        <v>9</v>
      </c>
      <c r="C5" s="45" t="s">
        <v>10</v>
      </c>
      <c r="D5" s="46">
        <v>116784</v>
      </c>
      <c r="E5" s="47">
        <v>79715</v>
      </c>
      <c r="F5" s="47">
        <f t="shared" ref="F5:F68" si="0">E5-D5</f>
        <v>-37069</v>
      </c>
      <c r="G5" s="48">
        <f t="shared" ref="G5:G68" si="1">F5/D5%</f>
        <v>-31.741505685710372</v>
      </c>
      <c r="H5" s="48">
        <f t="shared" ref="H5:H68" si="2">MIN(6,MAX(0,G5*6/100))</f>
        <v>0</v>
      </c>
      <c r="L5" s="49"/>
      <c r="M5" s="49"/>
    </row>
    <row r="6" spans="1:23" ht="15.75" customHeight="1">
      <c r="A6" s="44">
        <v>2</v>
      </c>
      <c r="B6" s="11" t="s">
        <v>9</v>
      </c>
      <c r="C6" s="45" t="s">
        <v>11</v>
      </c>
      <c r="D6" s="46">
        <v>64113</v>
      </c>
      <c r="E6" s="47">
        <v>42554</v>
      </c>
      <c r="F6" s="47">
        <f t="shared" si="0"/>
        <v>-21559</v>
      </c>
      <c r="G6" s="48">
        <f t="shared" si="1"/>
        <v>-33.626565595121114</v>
      </c>
      <c r="H6" s="48">
        <f t="shared" si="2"/>
        <v>0</v>
      </c>
      <c r="L6" s="49"/>
      <c r="M6" s="49"/>
    </row>
    <row r="7" spans="1:23" ht="15.75" customHeight="1">
      <c r="A7" s="44">
        <v>3</v>
      </c>
      <c r="B7" s="11" t="s">
        <v>9</v>
      </c>
      <c r="C7" s="45" t="s">
        <v>17</v>
      </c>
      <c r="D7" s="46">
        <v>44697</v>
      </c>
      <c r="E7" s="47">
        <v>24655</v>
      </c>
      <c r="F7" s="47">
        <f t="shared" si="0"/>
        <v>-20042</v>
      </c>
      <c r="G7" s="48">
        <f t="shared" si="1"/>
        <v>-44.839698413763784</v>
      </c>
      <c r="H7" s="48">
        <f t="shared" si="2"/>
        <v>0</v>
      </c>
      <c r="L7" s="49"/>
      <c r="M7" s="49"/>
    </row>
    <row r="8" spans="1:23" ht="15.75" customHeight="1">
      <c r="A8" s="44">
        <v>4</v>
      </c>
      <c r="B8" s="11" t="s">
        <v>9</v>
      </c>
      <c r="C8" s="50" t="s">
        <v>12</v>
      </c>
      <c r="D8" s="51">
        <v>36198</v>
      </c>
      <c r="E8" s="51">
        <v>22118</v>
      </c>
      <c r="F8" s="47">
        <f t="shared" si="0"/>
        <v>-14080</v>
      </c>
      <c r="G8" s="48">
        <f t="shared" si="1"/>
        <v>-38.897176639593347</v>
      </c>
      <c r="H8" s="48">
        <f t="shared" si="2"/>
        <v>0</v>
      </c>
      <c r="L8" s="49"/>
      <c r="M8" s="49"/>
    </row>
    <row r="9" spans="1:23" ht="15.75" customHeight="1">
      <c r="A9" s="44">
        <v>5</v>
      </c>
      <c r="B9" s="11" t="s">
        <v>9</v>
      </c>
      <c r="C9" s="50" t="s">
        <v>13</v>
      </c>
      <c r="D9" s="51">
        <v>27596</v>
      </c>
      <c r="E9" s="51">
        <v>22280</v>
      </c>
      <c r="F9" s="47">
        <f t="shared" si="0"/>
        <v>-5316</v>
      </c>
      <c r="G9" s="48">
        <f t="shared" si="1"/>
        <v>-19.263661400202931</v>
      </c>
      <c r="H9" s="48">
        <f t="shared" si="2"/>
        <v>0</v>
      </c>
      <c r="L9" s="49"/>
      <c r="M9" s="49"/>
    </row>
    <row r="10" spans="1:23" ht="15.75" customHeight="1">
      <c r="A10" s="44">
        <v>6</v>
      </c>
      <c r="B10" s="11" t="s">
        <v>9</v>
      </c>
      <c r="C10" s="50" t="s">
        <v>14</v>
      </c>
      <c r="D10" s="51">
        <v>24581</v>
      </c>
      <c r="E10" s="51">
        <v>18581</v>
      </c>
      <c r="F10" s="47">
        <f t="shared" si="0"/>
        <v>-6000</v>
      </c>
      <c r="G10" s="48">
        <f t="shared" si="1"/>
        <v>-24.409096456612829</v>
      </c>
      <c r="H10" s="48">
        <f t="shared" si="2"/>
        <v>0</v>
      </c>
      <c r="L10" s="49"/>
      <c r="M10" s="49"/>
    </row>
    <row r="11" spans="1:23" ht="15.75" customHeight="1">
      <c r="A11" s="44">
        <v>7</v>
      </c>
      <c r="B11" s="11" t="s">
        <v>9</v>
      </c>
      <c r="C11" s="50" t="s">
        <v>15</v>
      </c>
      <c r="D11" s="51">
        <v>74736</v>
      </c>
      <c r="E11" s="51">
        <v>37548</v>
      </c>
      <c r="F11" s="47">
        <f t="shared" si="0"/>
        <v>-37188</v>
      </c>
      <c r="G11" s="48">
        <f t="shared" si="1"/>
        <v>-49.759152215799617</v>
      </c>
      <c r="H11" s="48">
        <f t="shared" si="2"/>
        <v>0</v>
      </c>
      <c r="L11" s="49"/>
      <c r="M11" s="49"/>
    </row>
    <row r="12" spans="1:23" ht="15.75" customHeight="1">
      <c r="A12" s="44">
        <v>8</v>
      </c>
      <c r="B12" s="11" t="s">
        <v>9</v>
      </c>
      <c r="C12" s="50" t="s">
        <v>16</v>
      </c>
      <c r="D12" s="51">
        <v>45473</v>
      </c>
      <c r="E12" s="51">
        <v>26672</v>
      </c>
      <c r="F12" s="47">
        <f t="shared" si="0"/>
        <v>-18801</v>
      </c>
      <c r="G12" s="48">
        <f t="shared" si="1"/>
        <v>-41.345413762012619</v>
      </c>
      <c r="H12" s="48">
        <f t="shared" si="2"/>
        <v>0</v>
      </c>
      <c r="L12" s="49"/>
      <c r="M12" s="49"/>
    </row>
    <row r="13" spans="1:23" ht="15.75" customHeight="1">
      <c r="A13" s="44">
        <v>9</v>
      </c>
      <c r="B13" s="11" t="s">
        <v>9</v>
      </c>
      <c r="C13" s="50" t="s">
        <v>109</v>
      </c>
      <c r="D13" s="51">
        <v>26896</v>
      </c>
      <c r="E13" s="51">
        <v>17524</v>
      </c>
      <c r="F13" s="47">
        <f t="shared" si="0"/>
        <v>-9372</v>
      </c>
      <c r="G13" s="48">
        <f t="shared" si="1"/>
        <v>-34.84533016061868</v>
      </c>
      <c r="H13" s="48">
        <f t="shared" si="2"/>
        <v>0</v>
      </c>
      <c r="L13" s="49"/>
      <c r="M13" s="49"/>
    </row>
    <row r="14" spans="1:23" ht="15.75" customHeight="1">
      <c r="A14" s="52"/>
      <c r="B14" s="11" t="s">
        <v>9</v>
      </c>
      <c r="C14" s="53" t="s">
        <v>110</v>
      </c>
      <c r="D14" s="52">
        <v>461074</v>
      </c>
      <c r="E14" s="52">
        <v>291647</v>
      </c>
      <c r="F14" s="54">
        <f t="shared" si="0"/>
        <v>-169427</v>
      </c>
      <c r="G14" s="55">
        <f t="shared" si="1"/>
        <v>-36.746162221248653</v>
      </c>
      <c r="H14" s="55">
        <f t="shared" si="2"/>
        <v>0</v>
      </c>
      <c r="I14" s="56">
        <v>98</v>
      </c>
      <c r="J14" s="56">
        <v>352</v>
      </c>
      <c r="K14" s="56">
        <f>J14-I14</f>
        <v>254</v>
      </c>
      <c r="L14" s="57">
        <f>K14/I14%</f>
        <v>259.18367346938777</v>
      </c>
      <c r="M14" s="57">
        <f>MIN(5,MAX(0,L14*5/100))</f>
        <v>5</v>
      </c>
      <c r="N14" s="56"/>
      <c r="O14" s="56"/>
      <c r="P14" s="56"/>
      <c r="Q14" s="56"/>
      <c r="R14" s="56"/>
      <c r="S14" s="56"/>
      <c r="T14" s="56"/>
      <c r="U14" s="56"/>
      <c r="V14" s="56"/>
      <c r="W14" s="56"/>
    </row>
    <row r="15" spans="1:23" ht="15.75" customHeight="1">
      <c r="A15" s="44">
        <v>10</v>
      </c>
      <c r="B15" s="11" t="s">
        <v>19</v>
      </c>
      <c r="C15" s="45" t="s">
        <v>21</v>
      </c>
      <c r="D15" s="46">
        <v>106220</v>
      </c>
      <c r="E15" s="47">
        <v>62237</v>
      </c>
      <c r="F15" s="47">
        <f t="shared" si="0"/>
        <v>-43983</v>
      </c>
      <c r="G15" s="48">
        <f t="shared" si="1"/>
        <v>-41.407456222933533</v>
      </c>
      <c r="H15" s="48">
        <f t="shared" si="2"/>
        <v>0</v>
      </c>
      <c r="K15" s="56"/>
      <c r="L15" s="57"/>
      <c r="M15" s="57"/>
    </row>
    <row r="16" spans="1:23" ht="15.75" customHeight="1">
      <c r="A16" s="44">
        <v>11</v>
      </c>
      <c r="B16" s="11" t="s">
        <v>19</v>
      </c>
      <c r="C16" s="45" t="s">
        <v>26</v>
      </c>
      <c r="D16" s="46">
        <v>155980</v>
      </c>
      <c r="E16" s="47">
        <v>81517</v>
      </c>
      <c r="F16" s="47">
        <f t="shared" si="0"/>
        <v>-74463</v>
      </c>
      <c r="G16" s="48">
        <f t="shared" si="1"/>
        <v>-47.738812668290805</v>
      </c>
      <c r="H16" s="48">
        <f t="shared" si="2"/>
        <v>0</v>
      </c>
      <c r="K16" s="56"/>
      <c r="L16" s="57"/>
      <c r="M16" s="57"/>
    </row>
    <row r="17" spans="1:23" ht="15.75" customHeight="1">
      <c r="A17" s="44">
        <v>12</v>
      </c>
      <c r="B17" s="11" t="s">
        <v>19</v>
      </c>
      <c r="C17" s="45" t="s">
        <v>27</v>
      </c>
      <c r="D17" s="46">
        <v>99702</v>
      </c>
      <c r="E17" s="47">
        <v>57737</v>
      </c>
      <c r="F17" s="47">
        <f t="shared" si="0"/>
        <v>-41965</v>
      </c>
      <c r="G17" s="48">
        <f t="shared" si="1"/>
        <v>-42.090429479849952</v>
      </c>
      <c r="H17" s="48">
        <f t="shared" si="2"/>
        <v>0</v>
      </c>
      <c r="K17" s="56"/>
      <c r="L17" s="57"/>
      <c r="M17" s="57"/>
    </row>
    <row r="18" spans="1:23" ht="15.75" customHeight="1">
      <c r="A18" s="44">
        <v>13</v>
      </c>
      <c r="B18" s="11" t="s">
        <v>19</v>
      </c>
      <c r="C18" s="45" t="s">
        <v>29</v>
      </c>
      <c r="D18" s="46">
        <v>32544</v>
      </c>
      <c r="E18" s="47">
        <v>23066</v>
      </c>
      <c r="F18" s="47">
        <f t="shared" si="0"/>
        <v>-9478</v>
      </c>
      <c r="G18" s="48">
        <f t="shared" si="1"/>
        <v>-29.123647984267453</v>
      </c>
      <c r="H18" s="48">
        <f t="shared" si="2"/>
        <v>0</v>
      </c>
      <c r="K18" s="56"/>
      <c r="L18" s="57"/>
      <c r="M18" s="57"/>
    </row>
    <row r="19" spans="1:23" ht="15.75" customHeight="1">
      <c r="A19" s="44">
        <v>14</v>
      </c>
      <c r="B19" s="11" t="s">
        <v>19</v>
      </c>
      <c r="C19" s="50" t="s">
        <v>20</v>
      </c>
      <c r="D19" s="51">
        <v>33780</v>
      </c>
      <c r="E19" s="51">
        <v>18500</v>
      </c>
      <c r="F19" s="47">
        <f t="shared" si="0"/>
        <v>-15280</v>
      </c>
      <c r="G19" s="48">
        <f t="shared" si="1"/>
        <v>-45.233866193013618</v>
      </c>
      <c r="H19" s="48">
        <f t="shared" si="2"/>
        <v>0</v>
      </c>
      <c r="K19" s="56"/>
      <c r="L19" s="57"/>
      <c r="M19" s="57"/>
    </row>
    <row r="20" spans="1:23" ht="15.75" customHeight="1">
      <c r="A20" s="44">
        <v>15</v>
      </c>
      <c r="B20" s="11" t="s">
        <v>19</v>
      </c>
      <c r="C20" s="50" t="s">
        <v>22</v>
      </c>
      <c r="D20" s="51">
        <v>32338</v>
      </c>
      <c r="E20" s="51">
        <v>21875</v>
      </c>
      <c r="F20" s="47">
        <f t="shared" si="0"/>
        <v>-10463</v>
      </c>
      <c r="G20" s="48">
        <f t="shared" si="1"/>
        <v>-32.355124002721254</v>
      </c>
      <c r="H20" s="48">
        <f t="shared" si="2"/>
        <v>0</v>
      </c>
      <c r="K20" s="56"/>
      <c r="L20" s="57"/>
      <c r="M20" s="57"/>
    </row>
    <row r="21" spans="1:23" ht="15.75" customHeight="1">
      <c r="A21" s="44">
        <v>16</v>
      </c>
      <c r="B21" s="11" t="s">
        <v>19</v>
      </c>
      <c r="C21" s="50" t="s">
        <v>23</v>
      </c>
      <c r="D21" s="51">
        <v>51362</v>
      </c>
      <c r="E21" s="51">
        <v>22216</v>
      </c>
      <c r="F21" s="47">
        <f t="shared" si="0"/>
        <v>-29146</v>
      </c>
      <c r="G21" s="48">
        <f t="shared" si="1"/>
        <v>-56.746232623340212</v>
      </c>
      <c r="H21" s="48">
        <f t="shared" si="2"/>
        <v>0</v>
      </c>
      <c r="K21" s="56"/>
      <c r="L21" s="57"/>
      <c r="M21" s="57"/>
    </row>
    <row r="22" spans="1:23" ht="15.75" customHeight="1">
      <c r="A22" s="44">
        <v>17</v>
      </c>
      <c r="B22" s="11" t="s">
        <v>19</v>
      </c>
      <c r="C22" s="50" t="s">
        <v>24</v>
      </c>
      <c r="D22" s="51">
        <v>27442</v>
      </c>
      <c r="E22" s="51">
        <v>16031</v>
      </c>
      <c r="F22" s="47">
        <f t="shared" si="0"/>
        <v>-11411</v>
      </c>
      <c r="G22" s="48">
        <f t="shared" si="1"/>
        <v>-41.582246191968515</v>
      </c>
      <c r="H22" s="48">
        <f t="shared" si="2"/>
        <v>0</v>
      </c>
      <c r="K22" s="56"/>
      <c r="L22" s="57"/>
      <c r="M22" s="57"/>
    </row>
    <row r="23" spans="1:23" ht="15.75" customHeight="1">
      <c r="A23" s="44">
        <v>18</v>
      </c>
      <c r="B23" s="11" t="s">
        <v>19</v>
      </c>
      <c r="C23" s="50" t="s">
        <v>25</v>
      </c>
      <c r="D23" s="51">
        <v>33208</v>
      </c>
      <c r="E23" s="51">
        <v>16007</v>
      </c>
      <c r="F23" s="47">
        <f t="shared" si="0"/>
        <v>-17201</v>
      </c>
      <c r="G23" s="48">
        <f t="shared" si="1"/>
        <v>-51.797759576005781</v>
      </c>
      <c r="H23" s="48">
        <f t="shared" si="2"/>
        <v>0</v>
      </c>
      <c r="K23" s="56"/>
      <c r="L23" s="57"/>
      <c r="M23" s="57"/>
    </row>
    <row r="24" spans="1:23" ht="15.75" customHeight="1">
      <c r="A24" s="44">
        <v>19</v>
      </c>
      <c r="B24" s="11" t="s">
        <v>19</v>
      </c>
      <c r="C24" s="50" t="s">
        <v>28</v>
      </c>
      <c r="D24" s="51">
        <v>31445</v>
      </c>
      <c r="E24" s="51">
        <v>20812</v>
      </c>
      <c r="F24" s="47">
        <f t="shared" si="0"/>
        <v>-10633</v>
      </c>
      <c r="G24" s="48">
        <f t="shared" si="1"/>
        <v>-33.814596915248849</v>
      </c>
      <c r="H24" s="48">
        <f t="shared" si="2"/>
        <v>0</v>
      </c>
      <c r="K24" s="56"/>
      <c r="L24" s="57"/>
      <c r="M24" s="57"/>
    </row>
    <row r="25" spans="1:23" ht="28.8">
      <c r="A25" s="44">
        <v>20</v>
      </c>
      <c r="B25" s="11" t="s">
        <v>19</v>
      </c>
      <c r="C25" s="50" t="s">
        <v>111</v>
      </c>
      <c r="D25" s="51">
        <v>25068</v>
      </c>
      <c r="E25" s="51">
        <v>14274</v>
      </c>
      <c r="F25" s="47">
        <f t="shared" si="0"/>
        <v>-10794</v>
      </c>
      <c r="G25" s="48">
        <f t="shared" si="1"/>
        <v>-43.058879846816659</v>
      </c>
      <c r="H25" s="48">
        <f t="shared" si="2"/>
        <v>0</v>
      </c>
      <c r="K25" s="56"/>
      <c r="L25" s="57"/>
      <c r="M25" s="57"/>
    </row>
    <row r="26" spans="1:23" ht="28.8">
      <c r="A26" s="44">
        <v>21</v>
      </c>
      <c r="B26" s="11" t="s">
        <v>19</v>
      </c>
      <c r="C26" s="50" t="s">
        <v>30</v>
      </c>
      <c r="D26" s="51">
        <v>28403</v>
      </c>
      <c r="E26" s="51">
        <v>16049</v>
      </c>
      <c r="F26" s="47">
        <f t="shared" si="0"/>
        <v>-12354</v>
      </c>
      <c r="G26" s="48">
        <f t="shared" si="1"/>
        <v>-43.49540541492096</v>
      </c>
      <c r="H26" s="48">
        <f t="shared" si="2"/>
        <v>0</v>
      </c>
      <c r="K26" s="56"/>
      <c r="L26" s="57"/>
      <c r="M26" s="57"/>
    </row>
    <row r="27" spans="1:23" ht="28.2">
      <c r="A27" s="52"/>
      <c r="B27" s="11" t="s">
        <v>19</v>
      </c>
      <c r="C27" s="53" t="s">
        <v>110</v>
      </c>
      <c r="D27" s="52">
        <v>657492</v>
      </c>
      <c r="E27" s="52">
        <v>370321</v>
      </c>
      <c r="F27" s="54">
        <f t="shared" si="0"/>
        <v>-287171</v>
      </c>
      <c r="G27" s="55">
        <f t="shared" si="1"/>
        <v>-43.676729146514333</v>
      </c>
      <c r="H27" s="55">
        <f t="shared" si="2"/>
        <v>0</v>
      </c>
      <c r="I27" s="56">
        <v>203</v>
      </c>
      <c r="J27" s="56">
        <v>424</v>
      </c>
      <c r="K27" s="56">
        <f>J27-I27</f>
        <v>221</v>
      </c>
      <c r="L27" s="57">
        <f>K27/I27%</f>
        <v>108.86699507389163</v>
      </c>
      <c r="M27" s="57">
        <f>MIN(5,MAX(0,L27*5/100))</f>
        <v>5</v>
      </c>
      <c r="N27" s="56"/>
      <c r="O27" s="56"/>
      <c r="P27" s="56"/>
      <c r="Q27" s="56"/>
      <c r="R27" s="56"/>
      <c r="S27" s="56"/>
      <c r="T27" s="56"/>
      <c r="U27" s="56"/>
      <c r="V27" s="56"/>
      <c r="W27" s="56"/>
    </row>
    <row r="28" spans="1:23" ht="28.8">
      <c r="A28" s="44">
        <v>22</v>
      </c>
      <c r="B28" s="11" t="s">
        <v>32</v>
      </c>
      <c r="C28" s="45" t="s">
        <v>34</v>
      </c>
      <c r="D28" s="46">
        <v>251752</v>
      </c>
      <c r="E28" s="47">
        <v>192368</v>
      </c>
      <c r="F28" s="47">
        <f t="shared" si="0"/>
        <v>-59384</v>
      </c>
      <c r="G28" s="48">
        <f t="shared" si="1"/>
        <v>-23.5882932409673</v>
      </c>
      <c r="H28" s="48">
        <f t="shared" si="2"/>
        <v>0</v>
      </c>
      <c r="K28" s="56"/>
      <c r="L28" s="57"/>
      <c r="M28" s="57"/>
    </row>
    <row r="29" spans="1:23" ht="72">
      <c r="A29" s="44">
        <v>23</v>
      </c>
      <c r="B29" s="11" t="s">
        <v>32</v>
      </c>
      <c r="C29" s="45" t="s">
        <v>33</v>
      </c>
      <c r="D29" s="46">
        <v>2353711</v>
      </c>
      <c r="E29" s="47">
        <v>2050262</v>
      </c>
      <c r="F29" s="47">
        <f t="shared" si="0"/>
        <v>-303449</v>
      </c>
      <c r="G29" s="48">
        <f t="shared" si="1"/>
        <v>-12.892364440664126</v>
      </c>
      <c r="H29" s="48">
        <f t="shared" si="2"/>
        <v>0</v>
      </c>
      <c r="K29" s="56"/>
      <c r="L29" s="57"/>
      <c r="M29" s="57"/>
    </row>
    <row r="30" spans="1:23" ht="28.8">
      <c r="A30" s="44">
        <v>24</v>
      </c>
      <c r="B30" s="11" t="s">
        <v>32</v>
      </c>
      <c r="C30" s="50" t="s">
        <v>112</v>
      </c>
      <c r="D30" s="51">
        <v>21591</v>
      </c>
      <c r="E30" s="51">
        <v>12677</v>
      </c>
      <c r="F30" s="47">
        <f t="shared" si="0"/>
        <v>-8914</v>
      </c>
      <c r="G30" s="48">
        <f t="shared" si="1"/>
        <v>-41.28572090222778</v>
      </c>
      <c r="H30" s="48">
        <f t="shared" si="2"/>
        <v>0</v>
      </c>
      <c r="K30" s="56"/>
      <c r="L30" s="57"/>
      <c r="M30" s="57"/>
    </row>
    <row r="31" spans="1:23" ht="28.2">
      <c r="A31" s="58"/>
      <c r="B31" s="11" t="s">
        <v>32</v>
      </c>
      <c r="C31" s="59" t="s">
        <v>110</v>
      </c>
      <c r="D31" s="58">
        <v>2627054</v>
      </c>
      <c r="E31" s="58">
        <v>2255307</v>
      </c>
      <c r="F31" s="60">
        <f t="shared" si="0"/>
        <v>-371747</v>
      </c>
      <c r="G31" s="61">
        <f t="shared" si="1"/>
        <v>-14.150717876374067</v>
      </c>
      <c r="H31" s="61">
        <f t="shared" si="2"/>
        <v>0</v>
      </c>
      <c r="I31" s="62">
        <v>1236</v>
      </c>
      <c r="J31" s="62">
        <v>772</v>
      </c>
      <c r="K31" s="56">
        <f>J31-I31</f>
        <v>-464</v>
      </c>
      <c r="L31" s="57">
        <f>K31/I31%</f>
        <v>-37.540453074433657</v>
      </c>
      <c r="M31" s="57">
        <f>MIN(5,MAX(0,L31*5/100))</f>
        <v>0</v>
      </c>
      <c r="N31" s="62"/>
      <c r="O31" s="62"/>
      <c r="P31" s="62"/>
      <c r="Q31" s="62"/>
      <c r="R31" s="62"/>
      <c r="S31" s="62"/>
      <c r="T31" s="62"/>
      <c r="U31" s="62"/>
      <c r="V31" s="62"/>
      <c r="W31" s="62"/>
    </row>
    <row r="32" spans="1:23" ht="28.8">
      <c r="A32" s="44">
        <v>25</v>
      </c>
      <c r="B32" s="11" t="s">
        <v>36</v>
      </c>
      <c r="C32" s="45" t="s">
        <v>42</v>
      </c>
      <c r="D32" s="46">
        <v>90728</v>
      </c>
      <c r="E32" s="47">
        <v>48435</v>
      </c>
      <c r="F32" s="47">
        <f t="shared" si="0"/>
        <v>-42293</v>
      </c>
      <c r="G32" s="48">
        <f t="shared" si="1"/>
        <v>-46.615157393527909</v>
      </c>
      <c r="H32" s="48">
        <f t="shared" si="2"/>
        <v>0</v>
      </c>
      <c r="K32" s="56"/>
      <c r="L32" s="57"/>
      <c r="M32" s="57"/>
    </row>
    <row r="33" spans="1:23" ht="28.8">
      <c r="A33" s="44">
        <v>26</v>
      </c>
      <c r="B33" s="11" t="s">
        <v>36</v>
      </c>
      <c r="C33" s="50" t="s">
        <v>37</v>
      </c>
      <c r="D33" s="51">
        <v>59520</v>
      </c>
      <c r="E33" s="51">
        <v>35380</v>
      </c>
      <c r="F33" s="47">
        <f t="shared" si="0"/>
        <v>-24140</v>
      </c>
      <c r="G33" s="48">
        <f t="shared" si="1"/>
        <v>-40.557795698924728</v>
      </c>
      <c r="H33" s="48">
        <f t="shared" si="2"/>
        <v>0</v>
      </c>
      <c r="K33" s="56"/>
      <c r="L33" s="57"/>
      <c r="M33" s="57"/>
    </row>
    <row r="34" spans="1:23" ht="28.8">
      <c r="A34" s="44">
        <v>27</v>
      </c>
      <c r="B34" s="11" t="s">
        <v>36</v>
      </c>
      <c r="C34" s="50" t="s">
        <v>38</v>
      </c>
      <c r="D34" s="51">
        <v>28631</v>
      </c>
      <c r="E34" s="51">
        <v>30088</v>
      </c>
      <c r="F34" s="47">
        <f t="shared" si="0"/>
        <v>1457</v>
      </c>
      <c r="G34" s="48">
        <f t="shared" si="1"/>
        <v>5.0888896650483737</v>
      </c>
      <c r="H34" s="48">
        <f t="shared" si="2"/>
        <v>0.30533337990290244</v>
      </c>
      <c r="K34" s="56"/>
      <c r="L34" s="57"/>
      <c r="M34" s="57"/>
    </row>
    <row r="35" spans="1:23" ht="28.2">
      <c r="A35" s="44">
        <v>28</v>
      </c>
      <c r="B35" s="11" t="s">
        <v>36</v>
      </c>
      <c r="C35" s="50" t="s">
        <v>39</v>
      </c>
      <c r="D35" s="51">
        <v>63619</v>
      </c>
      <c r="E35" s="51">
        <v>36596</v>
      </c>
      <c r="F35" s="47">
        <f t="shared" si="0"/>
        <v>-27023</v>
      </c>
      <c r="G35" s="48">
        <f t="shared" si="1"/>
        <v>-42.47630424873072</v>
      </c>
      <c r="H35" s="48">
        <f t="shared" si="2"/>
        <v>0</v>
      </c>
      <c r="K35" s="56"/>
      <c r="L35" s="57"/>
      <c r="M35" s="57"/>
    </row>
    <row r="36" spans="1:23" ht="28.8">
      <c r="A36" s="44">
        <v>29</v>
      </c>
      <c r="B36" s="11" t="s">
        <v>36</v>
      </c>
      <c r="C36" s="50" t="s">
        <v>40</v>
      </c>
      <c r="D36" s="51">
        <v>45284</v>
      </c>
      <c r="E36" s="51">
        <v>29883</v>
      </c>
      <c r="F36" s="47">
        <f t="shared" si="0"/>
        <v>-15401</v>
      </c>
      <c r="G36" s="48">
        <f t="shared" si="1"/>
        <v>-34.009804787562935</v>
      </c>
      <c r="H36" s="48">
        <f t="shared" si="2"/>
        <v>0</v>
      </c>
      <c r="K36" s="56"/>
      <c r="L36" s="57"/>
      <c r="M36" s="57"/>
    </row>
    <row r="37" spans="1:23" ht="28.8">
      <c r="A37" s="44">
        <v>30</v>
      </c>
      <c r="B37" s="11" t="s">
        <v>36</v>
      </c>
      <c r="C37" s="50" t="s">
        <v>41</v>
      </c>
      <c r="D37" s="51">
        <v>44170</v>
      </c>
      <c r="E37" s="51">
        <v>22032</v>
      </c>
      <c r="F37" s="47">
        <f t="shared" si="0"/>
        <v>-22138</v>
      </c>
      <c r="G37" s="48">
        <f t="shared" si="1"/>
        <v>-50.119990944079696</v>
      </c>
      <c r="H37" s="48">
        <f t="shared" si="2"/>
        <v>0</v>
      </c>
      <c r="K37" s="56"/>
      <c r="L37" s="57"/>
      <c r="M37" s="57"/>
    </row>
    <row r="38" spans="1:23" ht="28.8">
      <c r="A38" s="44">
        <v>31</v>
      </c>
      <c r="B38" s="11" t="s">
        <v>36</v>
      </c>
      <c r="C38" s="50" t="s">
        <v>113</v>
      </c>
      <c r="D38" s="51">
        <v>12460</v>
      </c>
      <c r="E38" s="51">
        <v>10086</v>
      </c>
      <c r="F38" s="47">
        <f t="shared" si="0"/>
        <v>-2374</v>
      </c>
      <c r="G38" s="48">
        <f t="shared" si="1"/>
        <v>-19.052969502407706</v>
      </c>
      <c r="H38" s="48">
        <f t="shared" si="2"/>
        <v>0</v>
      </c>
      <c r="K38" s="56"/>
      <c r="L38" s="57"/>
      <c r="M38" s="57"/>
    </row>
    <row r="39" spans="1:23" ht="28.2">
      <c r="A39" s="53"/>
      <c r="B39" s="11" t="s">
        <v>36</v>
      </c>
      <c r="C39" s="53" t="s">
        <v>110</v>
      </c>
      <c r="D39" s="53">
        <v>344412</v>
      </c>
      <c r="E39" s="53">
        <v>212500</v>
      </c>
      <c r="F39" s="54">
        <f t="shared" si="0"/>
        <v>-131912</v>
      </c>
      <c r="G39" s="55">
        <f t="shared" si="1"/>
        <v>-38.300639931245136</v>
      </c>
      <c r="H39" s="55">
        <f t="shared" si="2"/>
        <v>0</v>
      </c>
      <c r="I39" s="63">
        <v>44</v>
      </c>
      <c r="J39" s="63">
        <v>3</v>
      </c>
      <c r="K39" s="56">
        <f>J39-I39</f>
        <v>-41</v>
      </c>
      <c r="L39" s="57">
        <f>K39/I39%</f>
        <v>-93.181818181818187</v>
      </c>
      <c r="M39" s="57">
        <f>MIN(5,MAX(0,L39*5/100))</f>
        <v>0</v>
      </c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 spans="1:23" ht="28.8">
      <c r="A40" s="44">
        <v>32</v>
      </c>
      <c r="B40" s="11" t="s">
        <v>44</v>
      </c>
      <c r="C40" s="45" t="s">
        <v>46</v>
      </c>
      <c r="D40" s="46">
        <v>34528</v>
      </c>
      <c r="E40" s="47">
        <v>18220</v>
      </c>
      <c r="F40" s="47">
        <f t="shared" si="0"/>
        <v>-16308</v>
      </c>
      <c r="G40" s="48">
        <f t="shared" si="1"/>
        <v>-47.231232622798892</v>
      </c>
      <c r="H40" s="48">
        <f t="shared" si="2"/>
        <v>0</v>
      </c>
      <c r="K40" s="56"/>
      <c r="L40" s="57"/>
      <c r="M40" s="57"/>
    </row>
    <row r="41" spans="1:23" ht="28.8">
      <c r="A41" s="44">
        <v>33</v>
      </c>
      <c r="B41" s="11" t="s">
        <v>44</v>
      </c>
      <c r="C41" s="45" t="s">
        <v>48</v>
      </c>
      <c r="D41" s="46">
        <v>83040</v>
      </c>
      <c r="E41" s="47">
        <v>54171</v>
      </c>
      <c r="F41" s="47">
        <f t="shared" si="0"/>
        <v>-28869</v>
      </c>
      <c r="G41" s="48">
        <f t="shared" si="1"/>
        <v>-34.765173410404628</v>
      </c>
      <c r="H41" s="48">
        <f t="shared" si="2"/>
        <v>0</v>
      </c>
      <c r="K41" s="56"/>
      <c r="L41" s="57"/>
      <c r="M41" s="57"/>
    </row>
    <row r="42" spans="1:23" ht="28.8">
      <c r="A42" s="44">
        <v>34</v>
      </c>
      <c r="B42" s="11" t="s">
        <v>44</v>
      </c>
      <c r="C42" s="45" t="s">
        <v>49</v>
      </c>
      <c r="D42" s="46">
        <v>605475</v>
      </c>
      <c r="E42" s="47">
        <v>120426</v>
      </c>
      <c r="F42" s="47">
        <f t="shared" si="0"/>
        <v>-485049</v>
      </c>
      <c r="G42" s="48">
        <f t="shared" si="1"/>
        <v>-80.110491762665674</v>
      </c>
      <c r="H42" s="48">
        <f t="shared" si="2"/>
        <v>0</v>
      </c>
      <c r="K42" s="56"/>
      <c r="L42" s="57"/>
      <c r="M42" s="57"/>
    </row>
    <row r="43" spans="1:23" ht="28.8">
      <c r="A43" s="44">
        <v>35</v>
      </c>
      <c r="B43" s="11" t="s">
        <v>44</v>
      </c>
      <c r="C43" s="50" t="s">
        <v>45</v>
      </c>
      <c r="D43" s="51">
        <v>52404</v>
      </c>
      <c r="E43" s="51">
        <v>25108</v>
      </c>
      <c r="F43" s="47">
        <f t="shared" si="0"/>
        <v>-27296</v>
      </c>
      <c r="G43" s="48">
        <f t="shared" si="1"/>
        <v>-52.087626898710027</v>
      </c>
      <c r="H43" s="48">
        <f t="shared" si="2"/>
        <v>0</v>
      </c>
      <c r="K43" s="56"/>
      <c r="L43" s="57"/>
      <c r="M43" s="57"/>
    </row>
    <row r="44" spans="1:23" ht="28.8">
      <c r="A44" s="44">
        <v>36</v>
      </c>
      <c r="B44" s="11" t="s">
        <v>44</v>
      </c>
      <c r="C44" s="50" t="s">
        <v>47</v>
      </c>
      <c r="D44" s="51">
        <v>24795</v>
      </c>
      <c r="E44" s="51">
        <v>13746</v>
      </c>
      <c r="F44" s="47">
        <f t="shared" si="0"/>
        <v>-11049</v>
      </c>
      <c r="G44" s="48">
        <f t="shared" si="1"/>
        <v>-44.561403508771932</v>
      </c>
      <c r="H44" s="48">
        <f t="shared" si="2"/>
        <v>0</v>
      </c>
      <c r="K44" s="56"/>
      <c r="L44" s="57"/>
      <c r="M44" s="57"/>
    </row>
    <row r="45" spans="1:23" ht="43.2">
      <c r="A45" s="44">
        <v>37</v>
      </c>
      <c r="B45" s="11" t="s">
        <v>44</v>
      </c>
      <c r="C45" s="50" t="s">
        <v>50</v>
      </c>
      <c r="D45" s="51">
        <v>48755</v>
      </c>
      <c r="E45" s="51">
        <v>30567</v>
      </c>
      <c r="F45" s="47">
        <f t="shared" si="0"/>
        <v>-18188</v>
      </c>
      <c r="G45" s="48">
        <f t="shared" si="1"/>
        <v>-37.304891805968616</v>
      </c>
      <c r="H45" s="48">
        <f t="shared" si="2"/>
        <v>0</v>
      </c>
      <c r="K45" s="56"/>
      <c r="L45" s="57"/>
      <c r="M45" s="57"/>
    </row>
    <row r="46" spans="1:23" ht="28.2">
      <c r="A46" s="44">
        <v>38</v>
      </c>
      <c r="B46" s="11" t="s">
        <v>44</v>
      </c>
      <c r="C46" s="50" t="s">
        <v>114</v>
      </c>
      <c r="D46" s="51">
        <v>21335</v>
      </c>
      <c r="E46" s="51">
        <v>18809</v>
      </c>
      <c r="F46" s="47">
        <f t="shared" si="0"/>
        <v>-2526</v>
      </c>
      <c r="G46" s="48">
        <f t="shared" si="1"/>
        <v>-11.83970002343567</v>
      </c>
      <c r="H46" s="48">
        <f t="shared" si="2"/>
        <v>0</v>
      </c>
      <c r="K46" s="56"/>
      <c r="L46" s="57"/>
      <c r="M46" s="57"/>
    </row>
    <row r="47" spans="1:23" ht="28.2">
      <c r="A47" s="52"/>
      <c r="B47" s="11" t="s">
        <v>44</v>
      </c>
      <c r="C47" s="53" t="s">
        <v>110</v>
      </c>
      <c r="D47" s="52">
        <v>870332</v>
      </c>
      <c r="E47" s="52">
        <v>281047</v>
      </c>
      <c r="F47" s="54">
        <f t="shared" si="0"/>
        <v>-589285</v>
      </c>
      <c r="G47" s="55">
        <f t="shared" si="1"/>
        <v>-67.708070023852969</v>
      </c>
      <c r="H47" s="55">
        <f t="shared" si="2"/>
        <v>0</v>
      </c>
      <c r="I47" s="56">
        <v>424</v>
      </c>
      <c r="J47" s="56">
        <v>468</v>
      </c>
      <c r="K47" s="56">
        <f>J47-I47</f>
        <v>44</v>
      </c>
      <c r="L47" s="57">
        <f>K47/I47%</f>
        <v>10.377358490566037</v>
      </c>
      <c r="M47" s="57">
        <f>MIN(5,MAX(0,L47*5/100))</f>
        <v>0.51886792452830188</v>
      </c>
      <c r="N47" s="56"/>
      <c r="O47" s="56"/>
      <c r="P47" s="56"/>
      <c r="Q47" s="56"/>
      <c r="R47" s="56"/>
      <c r="S47" s="56"/>
      <c r="T47" s="56"/>
      <c r="U47" s="56"/>
      <c r="V47" s="56"/>
      <c r="W47" s="56"/>
    </row>
    <row r="48" spans="1:23" ht="28.8">
      <c r="A48" s="44">
        <v>39</v>
      </c>
      <c r="B48" s="11" t="s">
        <v>52</v>
      </c>
      <c r="C48" s="45" t="s">
        <v>53</v>
      </c>
      <c r="D48" s="46">
        <v>56888</v>
      </c>
      <c r="E48" s="47">
        <v>44157</v>
      </c>
      <c r="F48" s="47">
        <f t="shared" si="0"/>
        <v>-12731</v>
      </c>
      <c r="G48" s="48">
        <f t="shared" si="1"/>
        <v>-22.379060610322036</v>
      </c>
      <c r="H48" s="48">
        <f t="shared" si="2"/>
        <v>0</v>
      </c>
      <c r="K48" s="56"/>
      <c r="L48" s="57"/>
      <c r="M48" s="57"/>
    </row>
    <row r="49" spans="1:23" ht="28.8">
      <c r="A49" s="44">
        <v>40</v>
      </c>
      <c r="B49" s="11" t="s">
        <v>52</v>
      </c>
      <c r="C49" s="45" t="s">
        <v>55</v>
      </c>
      <c r="D49" s="46">
        <v>285178</v>
      </c>
      <c r="E49" s="47">
        <v>205084</v>
      </c>
      <c r="F49" s="47">
        <f t="shared" si="0"/>
        <v>-80094</v>
      </c>
      <c r="G49" s="48">
        <f t="shared" si="1"/>
        <v>-28.085616702550684</v>
      </c>
      <c r="H49" s="48">
        <f t="shared" si="2"/>
        <v>0</v>
      </c>
      <c r="K49" s="56"/>
      <c r="L49" s="57"/>
      <c r="M49" s="57"/>
    </row>
    <row r="50" spans="1:23" ht="28.8">
      <c r="A50" s="44">
        <v>41</v>
      </c>
      <c r="B50" s="11" t="s">
        <v>52</v>
      </c>
      <c r="C50" s="45" t="s">
        <v>56</v>
      </c>
      <c r="D50" s="46">
        <v>434518</v>
      </c>
      <c r="E50" s="47">
        <v>254713</v>
      </c>
      <c r="F50" s="47">
        <f t="shared" si="0"/>
        <v>-179805</v>
      </c>
      <c r="G50" s="48">
        <f t="shared" si="1"/>
        <v>-41.380334071315801</v>
      </c>
      <c r="H50" s="48">
        <f t="shared" si="2"/>
        <v>0</v>
      </c>
      <c r="K50" s="56"/>
      <c r="L50" s="57"/>
      <c r="M50" s="57"/>
    </row>
    <row r="51" spans="1:23" ht="28.8">
      <c r="A51" s="44">
        <v>42</v>
      </c>
      <c r="B51" s="11" t="s">
        <v>52</v>
      </c>
      <c r="C51" s="45" t="s">
        <v>58</v>
      </c>
      <c r="D51" s="46">
        <v>27185</v>
      </c>
      <c r="E51" s="47">
        <v>22308</v>
      </c>
      <c r="F51" s="47">
        <f t="shared" si="0"/>
        <v>-4877</v>
      </c>
      <c r="G51" s="48">
        <f t="shared" si="1"/>
        <v>-17.940040463490895</v>
      </c>
      <c r="H51" s="48">
        <f t="shared" si="2"/>
        <v>0</v>
      </c>
      <c r="K51" s="56"/>
      <c r="L51" s="57"/>
      <c r="M51" s="57"/>
    </row>
    <row r="52" spans="1:23" ht="28.8">
      <c r="A52" s="44">
        <v>43</v>
      </c>
      <c r="B52" s="11" t="s">
        <v>52</v>
      </c>
      <c r="C52" s="50" t="s">
        <v>54</v>
      </c>
      <c r="D52" s="51">
        <v>29945</v>
      </c>
      <c r="E52" s="51">
        <v>14516</v>
      </c>
      <c r="F52" s="47">
        <f t="shared" si="0"/>
        <v>-15429</v>
      </c>
      <c r="G52" s="48">
        <f t="shared" si="1"/>
        <v>-51.524461512773421</v>
      </c>
      <c r="H52" s="48">
        <f t="shared" si="2"/>
        <v>0</v>
      </c>
      <c r="K52" s="56"/>
      <c r="L52" s="57"/>
      <c r="M52" s="57"/>
    </row>
    <row r="53" spans="1:23" ht="28.8">
      <c r="A53" s="44">
        <v>44</v>
      </c>
      <c r="B53" s="11" t="s">
        <v>52</v>
      </c>
      <c r="C53" s="50" t="s">
        <v>57</v>
      </c>
      <c r="D53" s="51">
        <v>24532</v>
      </c>
      <c r="E53" s="51">
        <v>24461</v>
      </c>
      <c r="F53" s="47">
        <f t="shared" si="0"/>
        <v>-71</v>
      </c>
      <c r="G53" s="48">
        <f t="shared" si="1"/>
        <v>-0.28941790314691018</v>
      </c>
      <c r="H53" s="48">
        <f t="shared" si="2"/>
        <v>0</v>
      </c>
      <c r="K53" s="56"/>
      <c r="L53" s="57"/>
      <c r="M53" s="57"/>
    </row>
    <row r="54" spans="1:23" ht="28.8">
      <c r="A54" s="44">
        <v>45</v>
      </c>
      <c r="B54" s="11" t="s">
        <v>52</v>
      </c>
      <c r="C54" s="50" t="s">
        <v>115</v>
      </c>
      <c r="D54" s="51">
        <v>23303</v>
      </c>
      <c r="E54" s="51">
        <v>16911</v>
      </c>
      <c r="F54" s="47">
        <f t="shared" si="0"/>
        <v>-6392</v>
      </c>
      <c r="G54" s="48">
        <f t="shared" si="1"/>
        <v>-27.429944642320731</v>
      </c>
      <c r="H54" s="48">
        <f t="shared" si="2"/>
        <v>0</v>
      </c>
      <c r="K54" s="56"/>
      <c r="L54" s="57"/>
      <c r="M54" s="57"/>
    </row>
    <row r="55" spans="1:23" ht="28.2">
      <c r="A55" s="52"/>
      <c r="B55" s="11" t="s">
        <v>52</v>
      </c>
      <c r="C55" s="53" t="s">
        <v>110</v>
      </c>
      <c r="D55" s="52">
        <v>881549</v>
      </c>
      <c r="E55" s="52">
        <v>582150</v>
      </c>
      <c r="F55" s="54">
        <f t="shared" si="0"/>
        <v>-299399</v>
      </c>
      <c r="G55" s="55">
        <f t="shared" si="1"/>
        <v>-33.962831334389811</v>
      </c>
      <c r="H55" s="55">
        <f t="shared" si="2"/>
        <v>0</v>
      </c>
      <c r="I55" s="56">
        <v>1289</v>
      </c>
      <c r="J55" s="56">
        <v>2817</v>
      </c>
      <c r="K55" s="56">
        <f>J55-I55</f>
        <v>1528</v>
      </c>
      <c r="L55" s="57">
        <f>K55/I55%</f>
        <v>118.54150504266873</v>
      </c>
      <c r="M55" s="57">
        <f>MIN(5,MAX(0,L55*5/100))</f>
        <v>5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</row>
    <row r="56" spans="1:23" ht="28.8">
      <c r="A56" s="44">
        <v>46</v>
      </c>
      <c r="B56" s="11" t="s">
        <v>60</v>
      </c>
      <c r="C56" s="45" t="s">
        <v>61</v>
      </c>
      <c r="D56" s="46">
        <v>40327</v>
      </c>
      <c r="E56" s="47">
        <v>20924</v>
      </c>
      <c r="F56" s="47">
        <f t="shared" si="0"/>
        <v>-19403</v>
      </c>
      <c r="G56" s="48">
        <f t="shared" si="1"/>
        <v>-48.114166687331071</v>
      </c>
      <c r="H56" s="48">
        <f t="shared" si="2"/>
        <v>0</v>
      </c>
      <c r="K56" s="56"/>
      <c r="L56" s="57"/>
      <c r="M56" s="57"/>
    </row>
    <row r="57" spans="1:23" ht="28.8">
      <c r="A57" s="44">
        <v>47</v>
      </c>
      <c r="B57" s="11" t="s">
        <v>60</v>
      </c>
      <c r="C57" s="45" t="s">
        <v>63</v>
      </c>
      <c r="D57" s="46">
        <v>175714</v>
      </c>
      <c r="E57" s="47">
        <v>111709</v>
      </c>
      <c r="F57" s="47">
        <f t="shared" si="0"/>
        <v>-64005</v>
      </c>
      <c r="G57" s="48">
        <f t="shared" si="1"/>
        <v>-36.425668984827617</v>
      </c>
      <c r="H57" s="48">
        <f t="shared" si="2"/>
        <v>0</v>
      </c>
      <c r="K57" s="56"/>
      <c r="L57" s="57"/>
      <c r="M57" s="57"/>
    </row>
    <row r="58" spans="1:23" ht="28.8">
      <c r="A58" s="44">
        <v>48</v>
      </c>
      <c r="B58" s="11" t="s">
        <v>60</v>
      </c>
      <c r="C58" s="50" t="s">
        <v>62</v>
      </c>
      <c r="D58" s="51">
        <v>25798</v>
      </c>
      <c r="E58" s="51">
        <v>15613</v>
      </c>
      <c r="F58" s="47">
        <f t="shared" si="0"/>
        <v>-10185</v>
      </c>
      <c r="G58" s="48">
        <f t="shared" si="1"/>
        <v>-39.479804636018294</v>
      </c>
      <c r="H58" s="48">
        <f t="shared" si="2"/>
        <v>0</v>
      </c>
      <c r="K58" s="56"/>
      <c r="L58" s="57"/>
      <c r="M58" s="57"/>
    </row>
    <row r="59" spans="1:23" ht="28.2">
      <c r="A59" s="44">
        <v>49</v>
      </c>
      <c r="B59" s="11" t="s">
        <v>60</v>
      </c>
      <c r="C59" s="50" t="s">
        <v>116</v>
      </c>
      <c r="D59" s="51">
        <v>19589</v>
      </c>
      <c r="E59" s="51">
        <v>13303</v>
      </c>
      <c r="F59" s="47">
        <f t="shared" si="0"/>
        <v>-6286</v>
      </c>
      <c r="G59" s="48">
        <f t="shared" si="1"/>
        <v>-32.089437949869826</v>
      </c>
      <c r="H59" s="48">
        <f t="shared" si="2"/>
        <v>0</v>
      </c>
      <c r="K59" s="56"/>
      <c r="L59" s="57"/>
      <c r="M59" s="57"/>
    </row>
    <row r="60" spans="1:23" ht="28.8">
      <c r="A60" s="44">
        <v>50</v>
      </c>
      <c r="B60" s="11" t="s">
        <v>60</v>
      </c>
      <c r="C60" s="50" t="s">
        <v>64</v>
      </c>
      <c r="D60" s="51">
        <v>45740</v>
      </c>
      <c r="E60" s="51">
        <v>25105</v>
      </c>
      <c r="F60" s="47">
        <f t="shared" si="0"/>
        <v>-20635</v>
      </c>
      <c r="G60" s="48">
        <f t="shared" si="1"/>
        <v>-45.113686051595977</v>
      </c>
      <c r="H60" s="48">
        <f t="shared" si="2"/>
        <v>0</v>
      </c>
      <c r="K60" s="56"/>
      <c r="L60" s="57"/>
      <c r="M60" s="57"/>
    </row>
    <row r="61" spans="1:23" ht="28.2">
      <c r="A61" s="52"/>
      <c r="B61" s="11" t="s">
        <v>60</v>
      </c>
      <c r="C61" s="53" t="s">
        <v>110</v>
      </c>
      <c r="D61" s="52">
        <v>307168</v>
      </c>
      <c r="E61" s="52">
        <v>186654</v>
      </c>
      <c r="F61" s="54">
        <f t="shared" si="0"/>
        <v>-120514</v>
      </c>
      <c r="G61" s="55">
        <f t="shared" si="1"/>
        <v>-39.233904573393062</v>
      </c>
      <c r="H61" s="55">
        <f t="shared" si="2"/>
        <v>0</v>
      </c>
      <c r="I61" s="56">
        <v>47</v>
      </c>
      <c r="J61" s="56">
        <v>49</v>
      </c>
      <c r="K61" s="56">
        <f>J61-I61</f>
        <v>2</v>
      </c>
      <c r="L61" s="57">
        <f>K61/I61%</f>
        <v>4.2553191489361701</v>
      </c>
      <c r="M61" s="57">
        <f>MIN(5,MAX(0,L61*5/100))</f>
        <v>0.21276595744680851</v>
      </c>
      <c r="N61" s="56"/>
      <c r="O61" s="56"/>
      <c r="P61" s="56"/>
      <c r="Q61" s="56"/>
      <c r="R61" s="56"/>
      <c r="S61" s="56"/>
      <c r="T61" s="56"/>
      <c r="U61" s="56"/>
      <c r="V61" s="56"/>
      <c r="W61" s="56"/>
    </row>
    <row r="62" spans="1:23" ht="28.8">
      <c r="A62" s="44">
        <v>51</v>
      </c>
      <c r="B62" s="11" t="s">
        <v>66</v>
      </c>
      <c r="C62" s="45" t="s">
        <v>70</v>
      </c>
      <c r="D62" s="46">
        <v>44711</v>
      </c>
      <c r="E62" s="47">
        <v>26525</v>
      </c>
      <c r="F62" s="47">
        <f t="shared" si="0"/>
        <v>-18186</v>
      </c>
      <c r="G62" s="48">
        <f t="shared" si="1"/>
        <v>-40.674554360224555</v>
      </c>
      <c r="H62" s="48">
        <f t="shared" si="2"/>
        <v>0</v>
      </c>
      <c r="K62" s="56"/>
      <c r="L62" s="57"/>
      <c r="M62" s="57"/>
    </row>
    <row r="63" spans="1:23" ht="28.8">
      <c r="A63" s="44">
        <v>52</v>
      </c>
      <c r="B63" s="11" t="s">
        <v>66</v>
      </c>
      <c r="C63" s="45" t="s">
        <v>71</v>
      </c>
      <c r="D63" s="46">
        <v>89287</v>
      </c>
      <c r="E63" s="47">
        <v>67597</v>
      </c>
      <c r="F63" s="47">
        <f t="shared" si="0"/>
        <v>-21690</v>
      </c>
      <c r="G63" s="48">
        <f t="shared" si="1"/>
        <v>-24.292450188717282</v>
      </c>
      <c r="H63" s="48">
        <f t="shared" si="2"/>
        <v>0</v>
      </c>
      <c r="K63" s="56"/>
      <c r="L63" s="57"/>
      <c r="M63" s="57"/>
    </row>
    <row r="64" spans="1:23" ht="28.2">
      <c r="A64" s="44">
        <v>53</v>
      </c>
      <c r="B64" s="11" t="s">
        <v>66</v>
      </c>
      <c r="C64" s="50" t="s">
        <v>67</v>
      </c>
      <c r="D64" s="51">
        <v>30894</v>
      </c>
      <c r="E64" s="51">
        <v>15404</v>
      </c>
      <c r="F64" s="47">
        <f t="shared" si="0"/>
        <v>-15490</v>
      </c>
      <c r="G64" s="48">
        <f t="shared" si="1"/>
        <v>-50.139185602382341</v>
      </c>
      <c r="H64" s="48">
        <f t="shared" si="2"/>
        <v>0</v>
      </c>
      <c r="K64" s="56"/>
      <c r="L64" s="57"/>
      <c r="M64" s="57"/>
    </row>
    <row r="65" spans="1:23" ht="28.8">
      <c r="A65" s="44">
        <v>54</v>
      </c>
      <c r="B65" s="11" t="s">
        <v>66</v>
      </c>
      <c r="C65" s="50" t="s">
        <v>68</v>
      </c>
      <c r="D65" s="51">
        <v>27608</v>
      </c>
      <c r="E65" s="51">
        <v>17085</v>
      </c>
      <c r="F65" s="47">
        <f t="shared" si="0"/>
        <v>-10523</v>
      </c>
      <c r="G65" s="48">
        <f t="shared" si="1"/>
        <v>-38.115763546798028</v>
      </c>
      <c r="H65" s="48">
        <f t="shared" si="2"/>
        <v>0</v>
      </c>
      <c r="K65" s="56"/>
      <c r="L65" s="57"/>
      <c r="M65" s="57"/>
    </row>
    <row r="66" spans="1:23" ht="28.8">
      <c r="A66" s="44">
        <v>55</v>
      </c>
      <c r="B66" s="11" t="s">
        <v>66</v>
      </c>
      <c r="C66" s="50" t="s">
        <v>69</v>
      </c>
      <c r="D66" s="51">
        <v>33765</v>
      </c>
      <c r="E66" s="51">
        <v>22290</v>
      </c>
      <c r="F66" s="47">
        <f t="shared" si="0"/>
        <v>-11475</v>
      </c>
      <c r="G66" s="48">
        <f t="shared" si="1"/>
        <v>-33.98489560195469</v>
      </c>
      <c r="H66" s="48">
        <f t="shared" si="2"/>
        <v>0</v>
      </c>
      <c r="K66" s="56"/>
      <c r="L66" s="57"/>
      <c r="M66" s="57"/>
    </row>
    <row r="67" spans="1:23" ht="28.2">
      <c r="A67" s="52"/>
      <c r="B67" s="11" t="s">
        <v>66</v>
      </c>
      <c r="C67" s="53" t="s">
        <v>110</v>
      </c>
      <c r="D67" s="52">
        <v>226265</v>
      </c>
      <c r="E67" s="52">
        <v>148901</v>
      </c>
      <c r="F67" s="54">
        <f t="shared" si="0"/>
        <v>-77364</v>
      </c>
      <c r="G67" s="55">
        <f t="shared" si="1"/>
        <v>-34.191766291737565</v>
      </c>
      <c r="H67" s="64">
        <f t="shared" si="2"/>
        <v>0</v>
      </c>
      <c r="I67" s="56">
        <v>19</v>
      </c>
      <c r="J67" s="56">
        <v>271</v>
      </c>
      <c r="K67" s="56">
        <f t="shared" ref="K67:K68" si="3">J67-I67</f>
        <v>252</v>
      </c>
      <c r="L67" s="57">
        <f t="shared" ref="L67:L68" si="4">K67/I67%</f>
        <v>1326.3157894736842</v>
      </c>
      <c r="M67" s="57">
        <f t="shared" ref="M67:M68" si="5">MIN(5,MAX(0,L67*5/100))</f>
        <v>5</v>
      </c>
      <c r="N67" s="56"/>
      <c r="O67" s="56"/>
      <c r="P67" s="56"/>
      <c r="Q67" s="56"/>
      <c r="R67" s="56"/>
      <c r="S67" s="56"/>
      <c r="T67" s="56"/>
      <c r="U67" s="56"/>
      <c r="V67" s="56"/>
      <c r="W67" s="56"/>
    </row>
    <row r="68" spans="1:23" ht="28.8">
      <c r="A68" s="52">
        <v>56</v>
      </c>
      <c r="B68" s="65" t="s">
        <v>73</v>
      </c>
      <c r="C68" s="66" t="s">
        <v>117</v>
      </c>
      <c r="D68" s="52">
        <v>6375346</v>
      </c>
      <c r="E68" s="52">
        <v>4328527</v>
      </c>
      <c r="F68" s="54">
        <f t="shared" si="0"/>
        <v>-2046819</v>
      </c>
      <c r="G68" s="55">
        <f t="shared" si="1"/>
        <v>-32.105222210684722</v>
      </c>
      <c r="H68" s="64">
        <f t="shared" si="2"/>
        <v>0</v>
      </c>
      <c r="I68" s="56">
        <v>3360</v>
      </c>
      <c r="J68" s="56">
        <f>SUM(J14:J67)</f>
        <v>5156</v>
      </c>
      <c r="K68" s="56">
        <f t="shared" si="3"/>
        <v>1796</v>
      </c>
      <c r="L68" s="57">
        <f t="shared" si="4"/>
        <v>53.452380952380949</v>
      </c>
      <c r="M68" s="57">
        <f t="shared" si="5"/>
        <v>2.6726190476190474</v>
      </c>
      <c r="N68" s="56"/>
      <c r="O68" s="56"/>
      <c r="P68" s="56"/>
      <c r="Q68" s="56"/>
      <c r="R68" s="56"/>
      <c r="S68" s="56"/>
      <c r="T68" s="56"/>
      <c r="U68" s="56"/>
      <c r="V68" s="56"/>
      <c r="W68" s="56"/>
    </row>
    <row r="69" spans="1:23" ht="13.2">
      <c r="B69" s="67"/>
      <c r="C69" s="35"/>
      <c r="G69" s="49"/>
      <c r="H69" s="49"/>
      <c r="L69" s="49"/>
      <c r="M69" s="49"/>
    </row>
    <row r="70" spans="1:23" ht="13.2">
      <c r="B70" s="67"/>
      <c r="C70" s="35"/>
      <c r="G70" s="49"/>
      <c r="H70" s="49"/>
      <c r="L70" s="49"/>
      <c r="M70" s="49"/>
    </row>
    <row r="71" spans="1:23" ht="13.2">
      <c r="B71" s="67"/>
      <c r="C71" s="35"/>
      <c r="G71" s="49"/>
      <c r="H71" s="49"/>
      <c r="L71" s="49"/>
      <c r="M71" s="49"/>
    </row>
    <row r="72" spans="1:23" ht="13.2">
      <c r="B72" s="67"/>
      <c r="C72" s="35"/>
      <c r="G72" s="49"/>
      <c r="H72" s="49"/>
      <c r="L72" s="49"/>
      <c r="M72" s="49"/>
    </row>
    <row r="73" spans="1:23" ht="13.2">
      <c r="B73" s="67"/>
      <c r="C73" s="35"/>
      <c r="G73" s="49"/>
      <c r="H73" s="49"/>
      <c r="L73" s="49"/>
      <c r="M73" s="49"/>
    </row>
    <row r="74" spans="1:23" ht="13.2">
      <c r="B74" s="67"/>
      <c r="C74" s="35"/>
      <c r="G74" s="49"/>
      <c r="H74" s="49"/>
      <c r="L74" s="49"/>
      <c r="M74" s="49"/>
    </row>
    <row r="75" spans="1:23" ht="13.2">
      <c r="B75" s="67"/>
      <c r="C75" s="35"/>
      <c r="G75" s="49"/>
      <c r="H75" s="49"/>
      <c r="L75" s="49"/>
      <c r="M75" s="49"/>
    </row>
    <row r="76" spans="1:23" ht="13.2">
      <c r="B76" s="67"/>
      <c r="C76" s="35"/>
      <c r="G76" s="49"/>
      <c r="H76" s="49"/>
      <c r="L76" s="49"/>
      <c r="M76" s="49"/>
    </row>
    <row r="77" spans="1:23" ht="13.2">
      <c r="B77" s="67"/>
      <c r="C77" s="35"/>
      <c r="G77" s="49"/>
      <c r="H77" s="49"/>
      <c r="L77" s="49"/>
      <c r="M77" s="49"/>
    </row>
    <row r="78" spans="1:23" ht="13.2">
      <c r="B78" s="67"/>
      <c r="C78" s="35"/>
      <c r="G78" s="49"/>
      <c r="H78" s="49"/>
      <c r="L78" s="49"/>
      <c r="M78" s="49"/>
    </row>
    <row r="79" spans="1:23" ht="13.2">
      <c r="B79" s="67"/>
      <c r="C79" s="35"/>
      <c r="G79" s="49"/>
      <c r="H79" s="49"/>
      <c r="L79" s="49"/>
      <c r="M79" s="49"/>
    </row>
    <row r="80" spans="1:23" ht="13.2">
      <c r="B80" s="67"/>
      <c r="C80" s="35"/>
      <c r="G80" s="49"/>
      <c r="H80" s="49"/>
      <c r="L80" s="49"/>
      <c r="M80" s="49"/>
    </row>
    <row r="81" spans="2:13" ht="13.2">
      <c r="B81" s="67"/>
      <c r="C81" s="35"/>
      <c r="G81" s="49"/>
      <c r="H81" s="49"/>
      <c r="L81" s="49"/>
      <c r="M81" s="49"/>
    </row>
    <row r="82" spans="2:13" ht="13.2">
      <c r="B82" s="67"/>
      <c r="C82" s="35"/>
      <c r="G82" s="49"/>
      <c r="H82" s="49"/>
      <c r="L82" s="49"/>
      <c r="M82" s="49"/>
    </row>
    <row r="83" spans="2:13" ht="13.2">
      <c r="B83" s="67"/>
      <c r="C83" s="35"/>
      <c r="G83" s="49"/>
      <c r="H83" s="49"/>
      <c r="L83" s="49"/>
      <c r="M83" s="49"/>
    </row>
    <row r="84" spans="2:13" ht="13.2">
      <c r="B84" s="67"/>
      <c r="C84" s="35"/>
      <c r="G84" s="49"/>
      <c r="H84" s="49"/>
      <c r="L84" s="49"/>
      <c r="M84" s="49"/>
    </row>
    <row r="85" spans="2:13" ht="13.2">
      <c r="B85" s="67"/>
      <c r="C85" s="35"/>
      <c r="G85" s="49"/>
      <c r="H85" s="49"/>
      <c r="L85" s="49"/>
      <c r="M85" s="49"/>
    </row>
    <row r="86" spans="2:13" ht="13.2">
      <c r="B86" s="67"/>
      <c r="C86" s="35"/>
      <c r="G86" s="49"/>
      <c r="H86" s="49"/>
      <c r="L86" s="49"/>
      <c r="M86" s="49"/>
    </row>
    <row r="87" spans="2:13" ht="13.2">
      <c r="B87" s="67"/>
      <c r="C87" s="35"/>
      <c r="G87" s="49"/>
      <c r="H87" s="49"/>
      <c r="L87" s="49"/>
      <c r="M87" s="49"/>
    </row>
    <row r="88" spans="2:13" ht="13.2">
      <c r="B88" s="67"/>
      <c r="C88" s="35"/>
      <c r="G88" s="49"/>
      <c r="H88" s="49"/>
      <c r="L88" s="49"/>
      <c r="M88" s="49"/>
    </row>
    <row r="89" spans="2:13" ht="13.2">
      <c r="B89" s="67"/>
      <c r="C89" s="35"/>
      <c r="G89" s="49"/>
      <c r="H89" s="49"/>
      <c r="L89" s="49"/>
      <c r="M89" s="49"/>
    </row>
    <row r="90" spans="2:13" ht="13.2">
      <c r="B90" s="67"/>
      <c r="C90" s="35"/>
      <c r="G90" s="49"/>
      <c r="H90" s="49"/>
      <c r="L90" s="49"/>
      <c r="M90" s="49"/>
    </row>
    <row r="91" spans="2:13" ht="13.2">
      <c r="B91" s="67"/>
      <c r="C91" s="35"/>
      <c r="G91" s="49"/>
      <c r="H91" s="49"/>
      <c r="L91" s="49"/>
      <c r="M91" s="49"/>
    </row>
    <row r="92" spans="2:13" ht="13.2">
      <c r="B92" s="67"/>
      <c r="C92" s="35"/>
      <c r="G92" s="49"/>
      <c r="H92" s="49"/>
      <c r="L92" s="49"/>
      <c r="M92" s="49"/>
    </row>
    <row r="93" spans="2:13" ht="13.2">
      <c r="B93" s="67"/>
      <c r="C93" s="35"/>
      <c r="G93" s="49"/>
      <c r="H93" s="49"/>
      <c r="L93" s="49"/>
      <c r="M93" s="49"/>
    </row>
    <row r="94" spans="2:13" ht="13.2">
      <c r="B94" s="67"/>
      <c r="C94" s="35"/>
      <c r="G94" s="49"/>
      <c r="H94" s="49"/>
      <c r="L94" s="49"/>
      <c r="M94" s="49"/>
    </row>
    <row r="95" spans="2:13" ht="13.2">
      <c r="B95" s="67"/>
      <c r="C95" s="35"/>
      <c r="G95" s="49"/>
      <c r="H95" s="49"/>
      <c r="L95" s="49"/>
      <c r="M95" s="49"/>
    </row>
    <row r="96" spans="2:13" ht="13.2">
      <c r="B96" s="67"/>
      <c r="C96" s="35"/>
      <c r="G96" s="49"/>
      <c r="H96" s="49"/>
      <c r="L96" s="49"/>
      <c r="M96" s="49"/>
    </row>
    <row r="97" spans="2:13" ht="13.2">
      <c r="B97" s="67"/>
      <c r="C97" s="35"/>
      <c r="G97" s="49"/>
      <c r="H97" s="49"/>
      <c r="L97" s="49"/>
      <c r="M97" s="49"/>
    </row>
    <row r="98" spans="2:13" ht="13.2">
      <c r="B98" s="67"/>
      <c r="C98" s="35"/>
      <c r="G98" s="49"/>
      <c r="H98" s="49"/>
      <c r="L98" s="49"/>
      <c r="M98" s="49"/>
    </row>
    <row r="99" spans="2:13" ht="13.2">
      <c r="B99" s="67"/>
      <c r="C99" s="35"/>
      <c r="G99" s="49"/>
      <c r="H99" s="49"/>
      <c r="L99" s="49"/>
      <c r="M99" s="49"/>
    </row>
    <row r="100" spans="2:13" ht="13.2">
      <c r="B100" s="67"/>
      <c r="C100" s="35"/>
      <c r="G100" s="49"/>
      <c r="H100" s="49"/>
      <c r="L100" s="49"/>
      <c r="M100" s="49"/>
    </row>
    <row r="101" spans="2:13" ht="13.2">
      <c r="B101" s="67"/>
      <c r="C101" s="35"/>
      <c r="G101" s="49"/>
      <c r="H101" s="49"/>
      <c r="L101" s="49"/>
      <c r="M101" s="49"/>
    </row>
    <row r="102" spans="2:13" ht="13.2">
      <c r="B102" s="67"/>
      <c r="C102" s="35"/>
      <c r="G102" s="49"/>
      <c r="H102" s="49"/>
      <c r="L102" s="49"/>
      <c r="M102" s="49"/>
    </row>
    <row r="103" spans="2:13" ht="13.2">
      <c r="B103" s="67"/>
      <c r="C103" s="35"/>
      <c r="G103" s="49"/>
      <c r="H103" s="49"/>
      <c r="L103" s="49"/>
      <c r="M103" s="49"/>
    </row>
    <row r="104" spans="2:13" ht="13.2">
      <c r="B104" s="67"/>
      <c r="C104" s="35"/>
      <c r="G104" s="49"/>
      <c r="H104" s="49"/>
      <c r="L104" s="49"/>
      <c r="M104" s="49"/>
    </row>
    <row r="105" spans="2:13" ht="13.2">
      <c r="B105" s="67"/>
      <c r="C105" s="35"/>
      <c r="G105" s="49"/>
      <c r="H105" s="49"/>
      <c r="L105" s="49"/>
      <c r="M105" s="49"/>
    </row>
    <row r="106" spans="2:13" ht="13.2">
      <c r="B106" s="67"/>
      <c r="C106" s="35"/>
      <c r="G106" s="49"/>
      <c r="H106" s="49"/>
      <c r="L106" s="49"/>
      <c r="M106" s="49"/>
    </row>
    <row r="107" spans="2:13" ht="13.2">
      <c r="B107" s="67"/>
      <c r="C107" s="35"/>
      <c r="G107" s="49"/>
      <c r="H107" s="49"/>
      <c r="L107" s="49"/>
      <c r="M107" s="49"/>
    </row>
    <row r="108" spans="2:13" ht="13.2">
      <c r="B108" s="67"/>
      <c r="C108" s="35"/>
      <c r="G108" s="49"/>
      <c r="H108" s="49"/>
      <c r="L108" s="49"/>
      <c r="M108" s="49"/>
    </row>
    <row r="109" spans="2:13" ht="13.2">
      <c r="B109" s="67"/>
      <c r="C109" s="35"/>
      <c r="G109" s="49"/>
      <c r="H109" s="49"/>
      <c r="L109" s="49"/>
      <c r="M109" s="49"/>
    </row>
    <row r="110" spans="2:13" ht="13.2">
      <c r="B110" s="67"/>
      <c r="C110" s="35"/>
      <c r="G110" s="49"/>
      <c r="H110" s="49"/>
      <c r="L110" s="49"/>
      <c r="M110" s="49"/>
    </row>
    <row r="111" spans="2:13" ht="13.2">
      <c r="B111" s="67"/>
      <c r="C111" s="35"/>
      <c r="G111" s="49"/>
      <c r="H111" s="49"/>
      <c r="L111" s="49"/>
      <c r="M111" s="49"/>
    </row>
    <row r="112" spans="2:13" ht="13.2">
      <c r="B112" s="67"/>
      <c r="C112" s="35"/>
      <c r="G112" s="49"/>
      <c r="H112" s="49"/>
      <c r="L112" s="49"/>
      <c r="M112" s="49"/>
    </row>
    <row r="113" spans="2:13" ht="13.2">
      <c r="B113" s="67"/>
      <c r="C113" s="35"/>
      <c r="G113" s="49"/>
      <c r="H113" s="49"/>
      <c r="L113" s="49"/>
      <c r="M113" s="49"/>
    </row>
    <row r="114" spans="2:13" ht="13.2">
      <c r="B114" s="67"/>
      <c r="C114" s="35"/>
      <c r="G114" s="49"/>
      <c r="H114" s="49"/>
      <c r="L114" s="49"/>
      <c r="M114" s="49"/>
    </row>
    <row r="115" spans="2:13" ht="13.2">
      <c r="B115" s="67"/>
      <c r="C115" s="35"/>
      <c r="G115" s="49"/>
      <c r="H115" s="49"/>
      <c r="L115" s="49"/>
      <c r="M115" s="49"/>
    </row>
    <row r="116" spans="2:13" ht="13.2">
      <c r="B116" s="67"/>
      <c r="C116" s="35"/>
      <c r="G116" s="49"/>
      <c r="H116" s="49"/>
      <c r="L116" s="49"/>
      <c r="M116" s="49"/>
    </row>
    <row r="117" spans="2:13" ht="13.2">
      <c r="B117" s="67"/>
      <c r="C117" s="35"/>
      <c r="G117" s="49"/>
      <c r="H117" s="49"/>
      <c r="L117" s="49"/>
      <c r="M117" s="49"/>
    </row>
    <row r="118" spans="2:13" ht="13.2">
      <c r="B118" s="67"/>
      <c r="C118" s="35"/>
      <c r="G118" s="49"/>
      <c r="H118" s="49"/>
      <c r="L118" s="49"/>
      <c r="M118" s="49"/>
    </row>
    <row r="119" spans="2:13" ht="13.2">
      <c r="B119" s="67"/>
      <c r="C119" s="35"/>
      <c r="G119" s="49"/>
      <c r="H119" s="49"/>
      <c r="L119" s="49"/>
      <c r="M119" s="49"/>
    </row>
    <row r="120" spans="2:13" ht="13.2">
      <c r="B120" s="67"/>
      <c r="C120" s="35"/>
      <c r="G120" s="49"/>
      <c r="H120" s="49"/>
      <c r="L120" s="49"/>
      <c r="M120" s="49"/>
    </row>
    <row r="121" spans="2:13" ht="13.2">
      <c r="B121" s="67"/>
      <c r="C121" s="35"/>
      <c r="G121" s="49"/>
      <c r="H121" s="49"/>
      <c r="L121" s="49"/>
      <c r="M121" s="49"/>
    </row>
    <row r="122" spans="2:13" ht="13.2">
      <c r="B122" s="67"/>
      <c r="C122" s="35"/>
      <c r="G122" s="49"/>
      <c r="H122" s="49"/>
      <c r="L122" s="49"/>
      <c r="M122" s="49"/>
    </row>
    <row r="123" spans="2:13" ht="13.2">
      <c r="B123" s="67"/>
      <c r="C123" s="35"/>
      <c r="G123" s="49"/>
      <c r="H123" s="49"/>
      <c r="L123" s="49"/>
      <c r="M123" s="49"/>
    </row>
    <row r="124" spans="2:13" ht="13.2">
      <c r="B124" s="67"/>
      <c r="C124" s="35"/>
      <c r="G124" s="49"/>
      <c r="H124" s="49"/>
      <c r="L124" s="49"/>
      <c r="M124" s="49"/>
    </row>
    <row r="125" spans="2:13" ht="13.2">
      <c r="B125" s="67"/>
      <c r="C125" s="35"/>
      <c r="G125" s="49"/>
      <c r="H125" s="49"/>
      <c r="L125" s="49"/>
      <c r="M125" s="49"/>
    </row>
    <row r="126" spans="2:13" ht="13.2">
      <c r="B126" s="67"/>
      <c r="C126" s="35"/>
      <c r="G126" s="49"/>
      <c r="H126" s="49"/>
      <c r="L126" s="49"/>
      <c r="M126" s="49"/>
    </row>
    <row r="127" spans="2:13" ht="13.2">
      <c r="B127" s="67"/>
      <c r="C127" s="35"/>
      <c r="G127" s="49"/>
      <c r="H127" s="49"/>
      <c r="L127" s="49"/>
      <c r="M127" s="49"/>
    </row>
    <row r="128" spans="2:13" ht="13.2">
      <c r="B128" s="67"/>
      <c r="C128" s="35"/>
      <c r="G128" s="49"/>
      <c r="H128" s="49"/>
      <c r="L128" s="49"/>
      <c r="M128" s="49"/>
    </row>
    <row r="129" spans="2:13" ht="13.2">
      <c r="B129" s="67"/>
      <c r="C129" s="35"/>
      <c r="G129" s="49"/>
      <c r="H129" s="49"/>
      <c r="L129" s="49"/>
      <c r="M129" s="49"/>
    </row>
    <row r="130" spans="2:13" ht="13.2">
      <c r="B130" s="67"/>
      <c r="C130" s="35"/>
      <c r="G130" s="49"/>
      <c r="H130" s="49"/>
      <c r="L130" s="49"/>
      <c r="M130" s="49"/>
    </row>
    <row r="131" spans="2:13" ht="13.2">
      <c r="B131" s="67"/>
      <c r="C131" s="35"/>
      <c r="G131" s="49"/>
      <c r="H131" s="49"/>
      <c r="L131" s="49"/>
      <c r="M131" s="49"/>
    </row>
    <row r="132" spans="2:13" ht="13.2">
      <c r="B132" s="67"/>
      <c r="C132" s="35"/>
      <c r="G132" s="49"/>
      <c r="H132" s="49"/>
      <c r="L132" s="49"/>
      <c r="M132" s="49"/>
    </row>
    <row r="133" spans="2:13" ht="13.2">
      <c r="B133" s="67"/>
      <c r="C133" s="35"/>
      <c r="G133" s="49"/>
      <c r="H133" s="49"/>
      <c r="L133" s="49"/>
      <c r="M133" s="49"/>
    </row>
    <row r="134" spans="2:13" ht="13.2">
      <c r="B134" s="67"/>
      <c r="C134" s="35"/>
      <c r="G134" s="49"/>
      <c r="H134" s="49"/>
      <c r="L134" s="49"/>
      <c r="M134" s="49"/>
    </row>
    <row r="135" spans="2:13" ht="13.2">
      <c r="B135" s="67"/>
      <c r="C135" s="35"/>
      <c r="G135" s="49"/>
      <c r="H135" s="49"/>
      <c r="L135" s="49"/>
      <c r="M135" s="49"/>
    </row>
    <row r="136" spans="2:13" ht="13.2">
      <c r="B136" s="67"/>
      <c r="C136" s="35"/>
      <c r="G136" s="49"/>
      <c r="H136" s="49"/>
      <c r="L136" s="49"/>
      <c r="M136" s="49"/>
    </row>
    <row r="137" spans="2:13" ht="13.2">
      <c r="B137" s="67"/>
      <c r="C137" s="35"/>
      <c r="G137" s="49"/>
      <c r="H137" s="49"/>
      <c r="L137" s="49"/>
      <c r="M137" s="49"/>
    </row>
    <row r="138" spans="2:13" ht="13.2">
      <c r="B138" s="67"/>
      <c r="C138" s="35"/>
      <c r="G138" s="49"/>
      <c r="H138" s="49"/>
      <c r="L138" s="49"/>
      <c r="M138" s="49"/>
    </row>
    <row r="139" spans="2:13" ht="13.2">
      <c r="B139" s="67"/>
      <c r="C139" s="35"/>
      <c r="G139" s="49"/>
      <c r="H139" s="49"/>
      <c r="L139" s="49"/>
      <c r="M139" s="49"/>
    </row>
    <row r="140" spans="2:13" ht="13.2">
      <c r="B140" s="67"/>
      <c r="C140" s="35"/>
      <c r="G140" s="49"/>
      <c r="H140" s="49"/>
      <c r="L140" s="49"/>
      <c r="M140" s="49"/>
    </row>
    <row r="141" spans="2:13" ht="13.2">
      <c r="B141" s="67"/>
      <c r="C141" s="35"/>
      <c r="G141" s="49"/>
      <c r="H141" s="49"/>
      <c r="L141" s="49"/>
      <c r="M141" s="49"/>
    </row>
    <row r="142" spans="2:13" ht="13.2">
      <c r="B142" s="67"/>
      <c r="C142" s="35"/>
      <c r="G142" s="49"/>
      <c r="H142" s="49"/>
      <c r="L142" s="49"/>
      <c r="M142" s="49"/>
    </row>
    <row r="143" spans="2:13" ht="13.2">
      <c r="B143" s="67"/>
      <c r="C143" s="35"/>
      <c r="G143" s="49"/>
      <c r="H143" s="49"/>
      <c r="L143" s="49"/>
      <c r="M143" s="49"/>
    </row>
    <row r="144" spans="2:13" ht="13.2">
      <c r="B144" s="67"/>
      <c r="C144" s="35"/>
      <c r="G144" s="49"/>
      <c r="H144" s="49"/>
      <c r="L144" s="49"/>
      <c r="M144" s="49"/>
    </row>
    <row r="145" spans="2:13" ht="13.2">
      <c r="B145" s="67"/>
      <c r="C145" s="35"/>
      <c r="G145" s="49"/>
      <c r="H145" s="49"/>
      <c r="L145" s="49"/>
      <c r="M145" s="49"/>
    </row>
    <row r="146" spans="2:13" ht="13.2">
      <c r="B146" s="67"/>
      <c r="C146" s="35"/>
      <c r="G146" s="49"/>
      <c r="H146" s="49"/>
      <c r="L146" s="49"/>
      <c r="M146" s="49"/>
    </row>
    <row r="147" spans="2:13" ht="13.2">
      <c r="B147" s="67"/>
      <c r="C147" s="35"/>
      <c r="G147" s="49"/>
      <c r="H147" s="49"/>
      <c r="L147" s="49"/>
      <c r="M147" s="49"/>
    </row>
    <row r="148" spans="2:13" ht="13.2">
      <c r="B148" s="67"/>
      <c r="C148" s="35"/>
      <c r="G148" s="49"/>
      <c r="H148" s="49"/>
      <c r="L148" s="49"/>
      <c r="M148" s="49"/>
    </row>
    <row r="149" spans="2:13" ht="13.2">
      <c r="B149" s="67"/>
      <c r="C149" s="35"/>
      <c r="G149" s="49"/>
      <c r="H149" s="49"/>
      <c r="L149" s="49"/>
      <c r="M149" s="49"/>
    </row>
    <row r="150" spans="2:13" ht="13.2">
      <c r="B150" s="67"/>
      <c r="C150" s="35"/>
      <c r="G150" s="49"/>
      <c r="H150" s="49"/>
      <c r="L150" s="49"/>
      <c r="M150" s="49"/>
    </row>
    <row r="151" spans="2:13" ht="13.2">
      <c r="B151" s="67"/>
      <c r="C151" s="35"/>
      <c r="G151" s="49"/>
      <c r="H151" s="49"/>
      <c r="L151" s="49"/>
      <c r="M151" s="49"/>
    </row>
    <row r="152" spans="2:13" ht="13.2">
      <c r="B152" s="67"/>
      <c r="C152" s="35"/>
      <c r="G152" s="49"/>
      <c r="H152" s="49"/>
      <c r="L152" s="49"/>
      <c r="M152" s="49"/>
    </row>
    <row r="153" spans="2:13" ht="13.2">
      <c r="B153" s="67"/>
      <c r="C153" s="35"/>
      <c r="G153" s="49"/>
      <c r="H153" s="49"/>
      <c r="L153" s="49"/>
      <c r="M153" s="49"/>
    </row>
    <row r="154" spans="2:13" ht="13.2">
      <c r="B154" s="67"/>
      <c r="C154" s="35"/>
      <c r="G154" s="49"/>
      <c r="H154" s="49"/>
      <c r="L154" s="49"/>
      <c r="M154" s="49"/>
    </row>
    <row r="155" spans="2:13" ht="13.2">
      <c r="B155" s="67"/>
      <c r="C155" s="35"/>
      <c r="G155" s="49"/>
      <c r="H155" s="49"/>
      <c r="L155" s="49"/>
      <c r="M155" s="49"/>
    </row>
    <row r="156" spans="2:13" ht="13.2">
      <c r="B156" s="67"/>
      <c r="C156" s="35"/>
      <c r="G156" s="49"/>
      <c r="H156" s="49"/>
      <c r="L156" s="49"/>
      <c r="M156" s="49"/>
    </row>
    <row r="157" spans="2:13" ht="13.2">
      <c r="B157" s="67"/>
      <c r="C157" s="35"/>
      <c r="G157" s="49"/>
      <c r="H157" s="49"/>
      <c r="L157" s="49"/>
      <c r="M157" s="49"/>
    </row>
    <row r="158" spans="2:13" ht="13.2">
      <c r="B158" s="67"/>
      <c r="C158" s="35"/>
      <c r="G158" s="49"/>
      <c r="H158" s="49"/>
      <c r="L158" s="49"/>
      <c r="M158" s="49"/>
    </row>
    <row r="159" spans="2:13" ht="13.2">
      <c r="B159" s="67"/>
      <c r="C159" s="35"/>
      <c r="G159" s="49"/>
      <c r="H159" s="49"/>
      <c r="L159" s="49"/>
      <c r="M159" s="49"/>
    </row>
    <row r="160" spans="2:13" ht="13.2">
      <c r="B160" s="67"/>
      <c r="C160" s="35"/>
      <c r="G160" s="49"/>
      <c r="H160" s="49"/>
      <c r="L160" s="49"/>
      <c r="M160" s="49"/>
    </row>
    <row r="161" spans="2:13" ht="13.2">
      <c r="B161" s="67"/>
      <c r="C161" s="35"/>
      <c r="G161" s="49"/>
      <c r="H161" s="49"/>
      <c r="L161" s="49"/>
      <c r="M161" s="49"/>
    </row>
    <row r="162" spans="2:13" ht="13.2">
      <c r="B162" s="67"/>
      <c r="C162" s="35"/>
      <c r="G162" s="49"/>
      <c r="H162" s="49"/>
      <c r="L162" s="49"/>
      <c r="M162" s="49"/>
    </row>
    <row r="163" spans="2:13" ht="13.2">
      <c r="B163" s="67"/>
      <c r="C163" s="35"/>
      <c r="G163" s="49"/>
      <c r="H163" s="49"/>
      <c r="L163" s="49"/>
      <c r="M163" s="49"/>
    </row>
    <row r="164" spans="2:13" ht="13.2">
      <c r="B164" s="67"/>
      <c r="C164" s="35"/>
      <c r="G164" s="49"/>
      <c r="H164" s="49"/>
      <c r="L164" s="49"/>
      <c r="M164" s="49"/>
    </row>
    <row r="165" spans="2:13" ht="13.2">
      <c r="B165" s="67"/>
      <c r="C165" s="35"/>
      <c r="G165" s="49"/>
      <c r="H165" s="49"/>
      <c r="L165" s="49"/>
      <c r="M165" s="49"/>
    </row>
    <row r="166" spans="2:13" ht="13.2">
      <c r="B166" s="67"/>
      <c r="C166" s="35"/>
      <c r="G166" s="49"/>
      <c r="H166" s="49"/>
      <c r="L166" s="49"/>
      <c r="M166" s="49"/>
    </row>
    <row r="167" spans="2:13" ht="13.2">
      <c r="B167" s="67"/>
      <c r="C167" s="35"/>
      <c r="G167" s="49"/>
      <c r="H167" s="49"/>
      <c r="L167" s="49"/>
      <c r="M167" s="49"/>
    </row>
    <row r="168" spans="2:13" ht="13.2">
      <c r="B168" s="67"/>
      <c r="C168" s="35"/>
      <c r="G168" s="49"/>
      <c r="H168" s="49"/>
      <c r="L168" s="49"/>
      <c r="M168" s="49"/>
    </row>
    <row r="169" spans="2:13" ht="13.2">
      <c r="B169" s="67"/>
      <c r="C169" s="35"/>
      <c r="G169" s="49"/>
      <c r="H169" s="49"/>
      <c r="L169" s="49"/>
      <c r="M169" s="49"/>
    </row>
    <row r="170" spans="2:13" ht="13.2">
      <c r="B170" s="67"/>
      <c r="C170" s="35"/>
      <c r="G170" s="49"/>
      <c r="H170" s="49"/>
      <c r="L170" s="49"/>
      <c r="M170" s="49"/>
    </row>
    <row r="171" spans="2:13" ht="13.2">
      <c r="B171" s="67"/>
      <c r="C171" s="35"/>
      <c r="G171" s="49"/>
      <c r="H171" s="49"/>
      <c r="L171" s="49"/>
      <c r="M171" s="49"/>
    </row>
    <row r="172" spans="2:13" ht="13.2">
      <c r="B172" s="67"/>
      <c r="C172" s="35"/>
      <c r="G172" s="49"/>
      <c r="H172" s="49"/>
      <c r="L172" s="49"/>
      <c r="M172" s="49"/>
    </row>
    <row r="173" spans="2:13" ht="13.2">
      <c r="B173" s="67"/>
      <c r="C173" s="35"/>
      <c r="G173" s="49"/>
      <c r="H173" s="49"/>
      <c r="L173" s="49"/>
      <c r="M173" s="49"/>
    </row>
    <row r="174" spans="2:13" ht="13.2">
      <c r="B174" s="67"/>
      <c r="C174" s="35"/>
      <c r="G174" s="49"/>
      <c r="H174" s="49"/>
      <c r="L174" s="49"/>
      <c r="M174" s="49"/>
    </row>
    <row r="175" spans="2:13" ht="13.2">
      <c r="B175" s="67"/>
      <c r="C175" s="35"/>
      <c r="G175" s="49"/>
      <c r="H175" s="49"/>
      <c r="L175" s="49"/>
      <c r="M175" s="49"/>
    </row>
    <row r="176" spans="2:13" ht="13.2">
      <c r="B176" s="67"/>
      <c r="C176" s="35"/>
      <c r="G176" s="49"/>
      <c r="H176" s="49"/>
      <c r="L176" s="49"/>
      <c r="M176" s="49"/>
    </row>
    <row r="177" spans="2:13" ht="13.2">
      <c r="B177" s="67"/>
      <c r="C177" s="35"/>
      <c r="G177" s="49"/>
      <c r="H177" s="49"/>
      <c r="L177" s="49"/>
      <c r="M177" s="49"/>
    </row>
    <row r="178" spans="2:13" ht="13.2">
      <c r="B178" s="67"/>
      <c r="C178" s="35"/>
      <c r="G178" s="49"/>
      <c r="H178" s="49"/>
      <c r="L178" s="49"/>
      <c r="M178" s="49"/>
    </row>
    <row r="179" spans="2:13" ht="13.2">
      <c r="B179" s="67"/>
      <c r="C179" s="35"/>
      <c r="G179" s="49"/>
      <c r="H179" s="49"/>
      <c r="L179" s="49"/>
      <c r="M179" s="49"/>
    </row>
    <row r="180" spans="2:13" ht="13.2">
      <c r="B180" s="67"/>
      <c r="C180" s="35"/>
      <c r="G180" s="49"/>
      <c r="H180" s="49"/>
      <c r="L180" s="49"/>
      <c r="M180" s="49"/>
    </row>
    <row r="181" spans="2:13" ht="13.2">
      <c r="B181" s="67"/>
      <c r="C181" s="35"/>
      <c r="G181" s="49"/>
      <c r="H181" s="49"/>
      <c r="L181" s="49"/>
      <c r="M181" s="49"/>
    </row>
    <row r="182" spans="2:13" ht="13.2">
      <c r="B182" s="67"/>
      <c r="C182" s="35"/>
      <c r="G182" s="49"/>
      <c r="H182" s="49"/>
      <c r="L182" s="49"/>
      <c r="M182" s="49"/>
    </row>
    <row r="183" spans="2:13" ht="13.2">
      <c r="B183" s="67"/>
      <c r="C183" s="35"/>
      <c r="G183" s="49"/>
      <c r="H183" s="49"/>
      <c r="L183" s="49"/>
      <c r="M183" s="49"/>
    </row>
    <row r="184" spans="2:13" ht="13.2">
      <c r="B184" s="67"/>
      <c r="C184" s="35"/>
      <c r="G184" s="49"/>
      <c r="H184" s="49"/>
      <c r="L184" s="49"/>
      <c r="M184" s="49"/>
    </row>
    <row r="185" spans="2:13" ht="13.2">
      <c r="B185" s="67"/>
      <c r="C185" s="35"/>
      <c r="G185" s="49"/>
      <c r="H185" s="49"/>
      <c r="L185" s="49"/>
      <c r="M185" s="49"/>
    </row>
    <row r="186" spans="2:13" ht="13.2">
      <c r="B186" s="67"/>
      <c r="C186" s="35"/>
      <c r="G186" s="49"/>
      <c r="H186" s="49"/>
      <c r="L186" s="49"/>
      <c r="M186" s="49"/>
    </row>
    <row r="187" spans="2:13" ht="13.2">
      <c r="B187" s="67"/>
      <c r="C187" s="35"/>
      <c r="G187" s="49"/>
      <c r="H187" s="49"/>
      <c r="L187" s="49"/>
      <c r="M187" s="49"/>
    </row>
    <row r="188" spans="2:13" ht="13.2">
      <c r="B188" s="67"/>
      <c r="C188" s="35"/>
      <c r="G188" s="49"/>
      <c r="H188" s="49"/>
      <c r="L188" s="49"/>
      <c r="M188" s="49"/>
    </row>
    <row r="189" spans="2:13" ht="13.2">
      <c r="B189" s="67"/>
      <c r="C189" s="35"/>
      <c r="G189" s="49"/>
      <c r="H189" s="49"/>
      <c r="L189" s="49"/>
      <c r="M189" s="49"/>
    </row>
    <row r="190" spans="2:13" ht="13.2">
      <c r="B190" s="67"/>
      <c r="C190" s="35"/>
      <c r="G190" s="49"/>
      <c r="H190" s="49"/>
      <c r="L190" s="49"/>
      <c r="M190" s="49"/>
    </row>
    <row r="191" spans="2:13" ht="13.2">
      <c r="B191" s="67"/>
      <c r="C191" s="35"/>
      <c r="G191" s="49"/>
      <c r="H191" s="49"/>
      <c r="L191" s="49"/>
      <c r="M191" s="49"/>
    </row>
    <row r="192" spans="2:13" ht="13.2">
      <c r="B192" s="67"/>
      <c r="C192" s="35"/>
      <c r="G192" s="49"/>
      <c r="H192" s="49"/>
      <c r="L192" s="49"/>
      <c r="M192" s="49"/>
    </row>
    <row r="193" spans="2:13" ht="13.2">
      <c r="B193" s="67"/>
      <c r="C193" s="35"/>
      <c r="G193" s="49"/>
      <c r="H193" s="49"/>
      <c r="L193" s="49"/>
      <c r="M193" s="49"/>
    </row>
    <row r="194" spans="2:13" ht="13.2">
      <c r="B194" s="67"/>
      <c r="C194" s="35"/>
      <c r="G194" s="49"/>
      <c r="H194" s="49"/>
      <c r="L194" s="49"/>
      <c r="M194" s="49"/>
    </row>
    <row r="195" spans="2:13" ht="13.2">
      <c r="B195" s="67"/>
      <c r="C195" s="35"/>
      <c r="G195" s="49"/>
      <c r="H195" s="49"/>
      <c r="L195" s="49"/>
      <c r="M195" s="49"/>
    </row>
    <row r="196" spans="2:13" ht="13.2">
      <c r="B196" s="67"/>
      <c r="C196" s="35"/>
      <c r="G196" s="49"/>
      <c r="H196" s="49"/>
      <c r="L196" s="49"/>
      <c r="M196" s="49"/>
    </row>
    <row r="197" spans="2:13" ht="13.2">
      <c r="B197" s="67"/>
      <c r="C197" s="35"/>
      <c r="G197" s="49"/>
      <c r="H197" s="49"/>
      <c r="L197" s="49"/>
      <c r="M197" s="49"/>
    </row>
    <row r="198" spans="2:13" ht="13.2">
      <c r="B198" s="67"/>
      <c r="C198" s="35"/>
      <c r="G198" s="49"/>
      <c r="H198" s="49"/>
      <c r="L198" s="49"/>
      <c r="M198" s="49"/>
    </row>
    <row r="199" spans="2:13" ht="13.2">
      <c r="B199" s="67"/>
      <c r="C199" s="35"/>
      <c r="G199" s="49"/>
      <c r="H199" s="49"/>
      <c r="L199" s="49"/>
      <c r="M199" s="49"/>
    </row>
    <row r="200" spans="2:13" ht="13.2">
      <c r="B200" s="67"/>
      <c r="C200" s="35"/>
      <c r="G200" s="49"/>
      <c r="H200" s="49"/>
      <c r="L200" s="49"/>
      <c r="M200" s="49"/>
    </row>
    <row r="201" spans="2:13" ht="13.2">
      <c r="B201" s="67"/>
      <c r="C201" s="35"/>
      <c r="G201" s="49"/>
      <c r="H201" s="49"/>
      <c r="L201" s="49"/>
      <c r="M201" s="49"/>
    </row>
    <row r="202" spans="2:13" ht="13.2">
      <c r="B202" s="67"/>
      <c r="C202" s="35"/>
      <c r="G202" s="49"/>
      <c r="H202" s="49"/>
      <c r="L202" s="49"/>
      <c r="M202" s="49"/>
    </row>
    <row r="203" spans="2:13" ht="13.2">
      <c r="B203" s="67"/>
      <c r="C203" s="35"/>
      <c r="G203" s="49"/>
      <c r="H203" s="49"/>
      <c r="L203" s="49"/>
      <c r="M203" s="49"/>
    </row>
    <row r="204" spans="2:13" ht="13.2">
      <c r="B204" s="67"/>
      <c r="C204" s="35"/>
      <c r="G204" s="49"/>
      <c r="H204" s="49"/>
      <c r="L204" s="49"/>
      <c r="M204" s="49"/>
    </row>
    <row r="205" spans="2:13" ht="13.2">
      <c r="B205" s="67"/>
      <c r="C205" s="35"/>
      <c r="G205" s="49"/>
      <c r="H205" s="49"/>
      <c r="L205" s="49"/>
      <c r="M205" s="49"/>
    </row>
    <row r="206" spans="2:13" ht="13.2">
      <c r="B206" s="67"/>
      <c r="C206" s="35"/>
      <c r="G206" s="49"/>
      <c r="H206" s="49"/>
      <c r="L206" s="49"/>
      <c r="M206" s="49"/>
    </row>
    <row r="207" spans="2:13" ht="13.2">
      <c r="B207" s="67"/>
      <c r="C207" s="35"/>
      <c r="G207" s="49"/>
      <c r="H207" s="49"/>
      <c r="L207" s="49"/>
      <c r="M207" s="49"/>
    </row>
    <row r="208" spans="2:13" ht="13.2">
      <c r="B208" s="67"/>
      <c r="C208" s="35"/>
      <c r="G208" s="49"/>
      <c r="H208" s="49"/>
      <c r="L208" s="49"/>
      <c r="M208" s="49"/>
    </row>
    <row r="209" spans="2:13" ht="13.2">
      <c r="B209" s="67"/>
      <c r="C209" s="35"/>
      <c r="G209" s="49"/>
      <c r="H209" s="49"/>
      <c r="L209" s="49"/>
      <c r="M209" s="49"/>
    </row>
    <row r="210" spans="2:13" ht="13.2">
      <c r="B210" s="67"/>
      <c r="C210" s="35"/>
      <c r="G210" s="49"/>
      <c r="H210" s="49"/>
      <c r="L210" s="49"/>
      <c r="M210" s="49"/>
    </row>
    <row r="211" spans="2:13" ht="13.2">
      <c r="B211" s="67"/>
      <c r="C211" s="35"/>
      <c r="G211" s="49"/>
      <c r="H211" s="49"/>
      <c r="L211" s="49"/>
      <c r="M211" s="49"/>
    </row>
    <row r="212" spans="2:13" ht="13.2">
      <c r="B212" s="67"/>
      <c r="C212" s="35"/>
      <c r="G212" s="49"/>
      <c r="H212" s="49"/>
      <c r="L212" s="49"/>
      <c r="M212" s="49"/>
    </row>
    <row r="213" spans="2:13" ht="13.2">
      <c r="B213" s="67"/>
      <c r="C213" s="35"/>
      <c r="G213" s="49"/>
      <c r="H213" s="49"/>
      <c r="L213" s="49"/>
      <c r="M213" s="49"/>
    </row>
    <row r="214" spans="2:13" ht="13.2">
      <c r="B214" s="67"/>
      <c r="C214" s="35"/>
      <c r="G214" s="49"/>
      <c r="H214" s="49"/>
      <c r="L214" s="49"/>
      <c r="M214" s="49"/>
    </row>
    <row r="215" spans="2:13" ht="13.2">
      <c r="B215" s="67"/>
      <c r="C215" s="35"/>
      <c r="G215" s="49"/>
      <c r="H215" s="49"/>
      <c r="L215" s="49"/>
      <c r="M215" s="49"/>
    </row>
    <row r="216" spans="2:13" ht="13.2">
      <c r="B216" s="67"/>
      <c r="C216" s="35"/>
      <c r="G216" s="49"/>
      <c r="H216" s="49"/>
      <c r="L216" s="49"/>
      <c r="M216" s="49"/>
    </row>
    <row r="217" spans="2:13" ht="13.2">
      <c r="B217" s="67"/>
      <c r="C217" s="35"/>
      <c r="G217" s="49"/>
      <c r="H217" s="49"/>
      <c r="L217" s="49"/>
      <c r="M217" s="49"/>
    </row>
    <row r="218" spans="2:13" ht="13.2">
      <c r="B218" s="67"/>
      <c r="C218" s="35"/>
      <c r="G218" s="49"/>
      <c r="H218" s="49"/>
      <c r="L218" s="49"/>
      <c r="M218" s="49"/>
    </row>
    <row r="219" spans="2:13" ht="13.2">
      <c r="B219" s="67"/>
      <c r="C219" s="35"/>
      <c r="G219" s="49"/>
      <c r="H219" s="49"/>
      <c r="L219" s="49"/>
      <c r="M219" s="49"/>
    </row>
    <row r="220" spans="2:13" ht="13.2">
      <c r="B220" s="67"/>
      <c r="C220" s="35"/>
      <c r="G220" s="49"/>
      <c r="H220" s="49"/>
      <c r="L220" s="49"/>
      <c r="M220" s="49"/>
    </row>
    <row r="221" spans="2:13" ht="13.2">
      <c r="B221" s="67"/>
      <c r="C221" s="35"/>
      <c r="G221" s="49"/>
      <c r="H221" s="49"/>
      <c r="L221" s="49"/>
      <c r="M221" s="49"/>
    </row>
    <row r="222" spans="2:13" ht="13.2">
      <c r="B222" s="67"/>
      <c r="C222" s="35"/>
      <c r="G222" s="49"/>
      <c r="H222" s="49"/>
      <c r="L222" s="49"/>
      <c r="M222" s="49"/>
    </row>
    <row r="223" spans="2:13" ht="13.2">
      <c r="B223" s="67"/>
      <c r="C223" s="35"/>
      <c r="G223" s="49"/>
      <c r="H223" s="49"/>
      <c r="L223" s="49"/>
      <c r="M223" s="49"/>
    </row>
    <row r="224" spans="2:13" ht="13.2">
      <c r="B224" s="67"/>
      <c r="C224" s="35"/>
      <c r="G224" s="49"/>
      <c r="H224" s="49"/>
      <c r="L224" s="49"/>
      <c r="M224" s="49"/>
    </row>
    <row r="225" spans="2:13" ht="13.2">
      <c r="B225" s="67"/>
      <c r="C225" s="35"/>
      <c r="G225" s="49"/>
      <c r="H225" s="49"/>
      <c r="L225" s="49"/>
      <c r="M225" s="49"/>
    </row>
    <row r="226" spans="2:13" ht="13.2">
      <c r="B226" s="67"/>
      <c r="C226" s="35"/>
      <c r="G226" s="49"/>
      <c r="H226" s="49"/>
      <c r="L226" s="49"/>
      <c r="M226" s="49"/>
    </row>
    <row r="227" spans="2:13" ht="13.2">
      <c r="B227" s="67"/>
      <c r="C227" s="35"/>
      <c r="G227" s="49"/>
      <c r="H227" s="49"/>
      <c r="L227" s="49"/>
      <c r="M227" s="49"/>
    </row>
    <row r="228" spans="2:13" ht="13.2">
      <c r="B228" s="67"/>
      <c r="C228" s="35"/>
      <c r="G228" s="49"/>
      <c r="H228" s="49"/>
      <c r="L228" s="49"/>
      <c r="M228" s="49"/>
    </row>
    <row r="229" spans="2:13" ht="13.2">
      <c r="B229" s="67"/>
      <c r="C229" s="35"/>
      <c r="G229" s="49"/>
      <c r="H229" s="49"/>
      <c r="L229" s="49"/>
      <c r="M229" s="49"/>
    </row>
    <row r="230" spans="2:13" ht="13.2">
      <c r="B230" s="67"/>
      <c r="C230" s="35"/>
      <c r="G230" s="49"/>
      <c r="H230" s="49"/>
      <c r="L230" s="49"/>
      <c r="M230" s="49"/>
    </row>
    <row r="231" spans="2:13" ht="13.2">
      <c r="B231" s="67"/>
      <c r="C231" s="35"/>
      <c r="G231" s="49"/>
      <c r="H231" s="49"/>
      <c r="L231" s="49"/>
      <c r="M231" s="49"/>
    </row>
    <row r="232" spans="2:13" ht="13.2">
      <c r="B232" s="67"/>
      <c r="C232" s="35"/>
      <c r="G232" s="49"/>
      <c r="H232" s="49"/>
      <c r="L232" s="49"/>
      <c r="M232" s="49"/>
    </row>
    <row r="233" spans="2:13" ht="13.2">
      <c r="B233" s="67"/>
      <c r="C233" s="35"/>
      <c r="G233" s="49"/>
      <c r="H233" s="49"/>
      <c r="L233" s="49"/>
      <c r="M233" s="49"/>
    </row>
    <row r="234" spans="2:13" ht="13.2">
      <c r="B234" s="67"/>
      <c r="C234" s="35"/>
      <c r="G234" s="49"/>
      <c r="H234" s="49"/>
      <c r="L234" s="49"/>
      <c r="M234" s="49"/>
    </row>
    <row r="235" spans="2:13" ht="13.2">
      <c r="B235" s="67"/>
      <c r="C235" s="35"/>
      <c r="G235" s="49"/>
      <c r="H235" s="49"/>
      <c r="L235" s="49"/>
      <c r="M235" s="49"/>
    </row>
    <row r="236" spans="2:13" ht="13.2">
      <c r="B236" s="67"/>
      <c r="C236" s="35"/>
      <c r="G236" s="49"/>
      <c r="H236" s="49"/>
      <c r="L236" s="49"/>
      <c r="M236" s="49"/>
    </row>
    <row r="237" spans="2:13" ht="13.2">
      <c r="B237" s="67"/>
      <c r="C237" s="35"/>
      <c r="G237" s="49"/>
      <c r="H237" s="49"/>
      <c r="L237" s="49"/>
      <c r="M237" s="49"/>
    </row>
    <row r="238" spans="2:13" ht="13.2">
      <c r="B238" s="67"/>
      <c r="C238" s="35"/>
      <c r="G238" s="49"/>
      <c r="H238" s="49"/>
      <c r="L238" s="49"/>
      <c r="M238" s="49"/>
    </row>
    <row r="239" spans="2:13" ht="13.2">
      <c r="B239" s="67"/>
      <c r="C239" s="35"/>
      <c r="G239" s="49"/>
      <c r="H239" s="49"/>
      <c r="L239" s="49"/>
      <c r="M239" s="49"/>
    </row>
    <row r="240" spans="2:13" ht="13.2">
      <c r="B240" s="67"/>
      <c r="C240" s="35"/>
      <c r="G240" s="49"/>
      <c r="H240" s="49"/>
      <c r="L240" s="49"/>
      <c r="M240" s="49"/>
    </row>
    <row r="241" spans="2:13" ht="13.2">
      <c r="B241" s="67"/>
      <c r="C241" s="35"/>
      <c r="G241" s="49"/>
      <c r="H241" s="49"/>
      <c r="L241" s="49"/>
      <c r="M241" s="49"/>
    </row>
    <row r="242" spans="2:13" ht="13.2">
      <c r="B242" s="67"/>
      <c r="C242" s="35"/>
      <c r="G242" s="49"/>
      <c r="H242" s="49"/>
      <c r="L242" s="49"/>
      <c r="M242" s="49"/>
    </row>
    <row r="243" spans="2:13" ht="13.2">
      <c r="B243" s="67"/>
      <c r="C243" s="35"/>
      <c r="G243" s="49"/>
      <c r="H243" s="49"/>
      <c r="L243" s="49"/>
      <c r="M243" s="49"/>
    </row>
    <row r="244" spans="2:13" ht="13.2">
      <c r="B244" s="67"/>
      <c r="C244" s="35"/>
      <c r="G244" s="49"/>
      <c r="H244" s="49"/>
      <c r="L244" s="49"/>
      <c r="M244" s="49"/>
    </row>
    <row r="245" spans="2:13" ht="13.2">
      <c r="B245" s="67"/>
      <c r="C245" s="35"/>
      <c r="G245" s="49"/>
      <c r="H245" s="49"/>
      <c r="L245" s="49"/>
      <c r="M245" s="49"/>
    </row>
    <row r="246" spans="2:13" ht="13.2">
      <c r="B246" s="67"/>
      <c r="C246" s="35"/>
      <c r="G246" s="49"/>
      <c r="H246" s="49"/>
      <c r="L246" s="49"/>
      <c r="M246" s="49"/>
    </row>
    <row r="247" spans="2:13" ht="13.2">
      <c r="B247" s="67"/>
      <c r="C247" s="35"/>
      <c r="G247" s="49"/>
      <c r="H247" s="49"/>
      <c r="L247" s="49"/>
      <c r="M247" s="49"/>
    </row>
    <row r="248" spans="2:13" ht="13.2">
      <c r="B248" s="67"/>
      <c r="C248" s="35"/>
      <c r="G248" s="49"/>
      <c r="H248" s="49"/>
      <c r="L248" s="49"/>
      <c r="M248" s="49"/>
    </row>
    <row r="249" spans="2:13" ht="13.2">
      <c r="B249" s="67"/>
      <c r="C249" s="35"/>
      <c r="G249" s="49"/>
      <c r="H249" s="49"/>
      <c r="L249" s="49"/>
      <c r="M249" s="49"/>
    </row>
    <row r="250" spans="2:13" ht="13.2">
      <c r="B250" s="67"/>
      <c r="C250" s="35"/>
      <c r="G250" s="49"/>
      <c r="H250" s="49"/>
      <c r="L250" s="49"/>
      <c r="M250" s="49"/>
    </row>
    <row r="251" spans="2:13" ht="13.2">
      <c r="B251" s="67"/>
      <c r="C251" s="35"/>
      <c r="G251" s="49"/>
      <c r="H251" s="49"/>
      <c r="L251" s="49"/>
      <c r="M251" s="49"/>
    </row>
    <row r="252" spans="2:13" ht="13.2">
      <c r="B252" s="67"/>
      <c r="C252" s="35"/>
      <c r="G252" s="49"/>
      <c r="H252" s="49"/>
      <c r="L252" s="49"/>
      <c r="M252" s="49"/>
    </row>
    <row r="253" spans="2:13" ht="13.2">
      <c r="B253" s="67"/>
      <c r="C253" s="35"/>
      <c r="G253" s="49"/>
      <c r="H253" s="49"/>
      <c r="L253" s="49"/>
      <c r="M253" s="49"/>
    </row>
    <row r="254" spans="2:13" ht="13.2">
      <c r="B254" s="67"/>
      <c r="C254" s="35"/>
      <c r="G254" s="49"/>
      <c r="H254" s="49"/>
      <c r="L254" s="49"/>
      <c r="M254" s="49"/>
    </row>
    <row r="255" spans="2:13" ht="13.2">
      <c r="B255" s="67"/>
      <c r="C255" s="35"/>
      <c r="G255" s="49"/>
      <c r="H255" s="49"/>
      <c r="L255" s="49"/>
      <c r="M255" s="49"/>
    </row>
    <row r="256" spans="2:13" ht="13.2">
      <c r="B256" s="67"/>
      <c r="C256" s="35"/>
      <c r="G256" s="49"/>
      <c r="H256" s="49"/>
      <c r="L256" s="49"/>
      <c r="M256" s="49"/>
    </row>
    <row r="257" spans="2:13" ht="13.2">
      <c r="B257" s="67"/>
      <c r="C257" s="35"/>
      <c r="G257" s="49"/>
      <c r="H257" s="49"/>
      <c r="L257" s="49"/>
      <c r="M257" s="49"/>
    </row>
    <row r="258" spans="2:13" ht="13.2">
      <c r="B258" s="67"/>
      <c r="C258" s="35"/>
      <c r="G258" s="49"/>
      <c r="H258" s="49"/>
      <c r="L258" s="49"/>
      <c r="M258" s="49"/>
    </row>
    <row r="259" spans="2:13" ht="13.2">
      <c r="B259" s="67"/>
      <c r="C259" s="35"/>
      <c r="G259" s="49"/>
      <c r="H259" s="49"/>
      <c r="L259" s="49"/>
      <c r="M259" s="49"/>
    </row>
    <row r="260" spans="2:13" ht="13.2">
      <c r="B260" s="67"/>
      <c r="C260" s="35"/>
      <c r="G260" s="49"/>
      <c r="H260" s="49"/>
      <c r="L260" s="49"/>
      <c r="M260" s="49"/>
    </row>
    <row r="261" spans="2:13" ht="13.2">
      <c r="B261" s="67"/>
      <c r="C261" s="35"/>
      <c r="G261" s="49"/>
      <c r="H261" s="49"/>
      <c r="L261" s="49"/>
      <c r="M261" s="49"/>
    </row>
    <row r="262" spans="2:13" ht="13.2">
      <c r="B262" s="67"/>
      <c r="C262" s="35"/>
      <c r="G262" s="49"/>
      <c r="H262" s="49"/>
      <c r="L262" s="49"/>
      <c r="M262" s="49"/>
    </row>
    <row r="263" spans="2:13" ht="13.2">
      <c r="B263" s="67"/>
      <c r="C263" s="35"/>
      <c r="G263" s="49"/>
      <c r="H263" s="49"/>
      <c r="L263" s="49"/>
      <c r="M263" s="49"/>
    </row>
    <row r="264" spans="2:13" ht="13.2">
      <c r="B264" s="67"/>
      <c r="C264" s="35"/>
      <c r="G264" s="49"/>
      <c r="H264" s="49"/>
      <c r="L264" s="49"/>
      <c r="M264" s="49"/>
    </row>
    <row r="265" spans="2:13" ht="13.2">
      <c r="B265" s="67"/>
      <c r="C265" s="35"/>
      <c r="G265" s="49"/>
      <c r="H265" s="49"/>
      <c r="L265" s="49"/>
      <c r="M265" s="49"/>
    </row>
    <row r="266" spans="2:13" ht="13.2">
      <c r="B266" s="67"/>
      <c r="C266" s="35"/>
      <c r="G266" s="49"/>
      <c r="H266" s="49"/>
      <c r="L266" s="49"/>
      <c r="M266" s="49"/>
    </row>
    <row r="267" spans="2:13" ht="13.2">
      <c r="B267" s="67"/>
      <c r="C267" s="35"/>
      <c r="G267" s="49"/>
      <c r="H267" s="49"/>
      <c r="L267" s="49"/>
      <c r="M267" s="49"/>
    </row>
    <row r="268" spans="2:13" ht="13.2">
      <c r="B268" s="67"/>
      <c r="C268" s="35"/>
      <c r="G268" s="49"/>
      <c r="H268" s="49"/>
      <c r="L268" s="49"/>
      <c r="M268" s="49"/>
    </row>
    <row r="269" spans="2:13" ht="13.2">
      <c r="B269" s="67"/>
      <c r="C269" s="35"/>
      <c r="G269" s="49"/>
      <c r="H269" s="49"/>
      <c r="L269" s="49"/>
      <c r="M269" s="49"/>
    </row>
    <row r="270" spans="2:13" ht="13.2">
      <c r="B270" s="67"/>
      <c r="C270" s="35"/>
      <c r="G270" s="49"/>
      <c r="H270" s="49"/>
      <c r="L270" s="49"/>
      <c r="M270" s="49"/>
    </row>
    <row r="271" spans="2:13" ht="13.2">
      <c r="B271" s="67"/>
      <c r="C271" s="35"/>
      <c r="G271" s="49"/>
      <c r="H271" s="49"/>
      <c r="L271" s="49"/>
      <c r="M271" s="49"/>
    </row>
    <row r="272" spans="2:13" ht="13.2">
      <c r="B272" s="67"/>
      <c r="C272" s="35"/>
      <c r="G272" s="49"/>
      <c r="H272" s="49"/>
      <c r="L272" s="49"/>
      <c r="M272" s="49"/>
    </row>
    <row r="273" spans="2:13" ht="13.2">
      <c r="B273" s="67"/>
      <c r="C273" s="35"/>
      <c r="G273" s="49"/>
      <c r="H273" s="49"/>
      <c r="L273" s="49"/>
      <c r="M273" s="49"/>
    </row>
    <row r="274" spans="2:13" ht="13.2">
      <c r="B274" s="67"/>
      <c r="C274" s="35"/>
      <c r="G274" s="49"/>
      <c r="H274" s="49"/>
      <c r="L274" s="49"/>
      <c r="M274" s="49"/>
    </row>
    <row r="275" spans="2:13" ht="13.2">
      <c r="B275" s="67"/>
      <c r="C275" s="35"/>
      <c r="G275" s="49"/>
      <c r="H275" s="49"/>
      <c r="L275" s="49"/>
      <c r="M275" s="49"/>
    </row>
    <row r="276" spans="2:13" ht="13.2">
      <c r="B276" s="67"/>
      <c r="C276" s="35"/>
      <c r="G276" s="49"/>
      <c r="H276" s="49"/>
      <c r="L276" s="49"/>
      <c r="M276" s="49"/>
    </row>
    <row r="277" spans="2:13" ht="13.2">
      <c r="B277" s="67"/>
      <c r="C277" s="35"/>
      <c r="G277" s="49"/>
      <c r="H277" s="49"/>
      <c r="L277" s="49"/>
      <c r="M277" s="49"/>
    </row>
    <row r="278" spans="2:13" ht="13.2">
      <c r="B278" s="67"/>
      <c r="C278" s="35"/>
      <c r="G278" s="49"/>
      <c r="H278" s="49"/>
      <c r="L278" s="49"/>
      <c r="M278" s="49"/>
    </row>
    <row r="279" spans="2:13" ht="13.2">
      <c r="B279" s="67"/>
      <c r="C279" s="35"/>
      <c r="G279" s="49"/>
      <c r="H279" s="49"/>
      <c r="L279" s="49"/>
      <c r="M279" s="49"/>
    </row>
    <row r="280" spans="2:13" ht="13.2">
      <c r="B280" s="67"/>
      <c r="C280" s="35"/>
      <c r="G280" s="49"/>
      <c r="H280" s="49"/>
      <c r="L280" s="49"/>
      <c r="M280" s="49"/>
    </row>
    <row r="281" spans="2:13" ht="13.2">
      <c r="B281" s="67"/>
      <c r="C281" s="35"/>
      <c r="G281" s="49"/>
      <c r="H281" s="49"/>
      <c r="L281" s="49"/>
      <c r="M281" s="49"/>
    </row>
    <row r="282" spans="2:13" ht="13.2">
      <c r="B282" s="67"/>
      <c r="C282" s="35"/>
      <c r="G282" s="49"/>
      <c r="H282" s="49"/>
      <c r="L282" s="49"/>
      <c r="M282" s="49"/>
    </row>
    <row r="283" spans="2:13" ht="13.2">
      <c r="B283" s="67"/>
      <c r="C283" s="35"/>
      <c r="G283" s="49"/>
      <c r="H283" s="49"/>
      <c r="L283" s="49"/>
      <c r="M283" s="49"/>
    </row>
    <row r="284" spans="2:13" ht="13.2">
      <c r="B284" s="67"/>
      <c r="C284" s="35"/>
      <c r="G284" s="49"/>
      <c r="H284" s="49"/>
      <c r="L284" s="49"/>
      <c r="M284" s="49"/>
    </row>
    <row r="285" spans="2:13" ht="13.2">
      <c r="B285" s="67"/>
      <c r="C285" s="35"/>
      <c r="G285" s="49"/>
      <c r="H285" s="49"/>
      <c r="L285" s="49"/>
      <c r="M285" s="49"/>
    </row>
    <row r="286" spans="2:13" ht="13.2">
      <c r="B286" s="67"/>
      <c r="C286" s="35"/>
      <c r="G286" s="49"/>
      <c r="H286" s="49"/>
      <c r="L286" s="49"/>
      <c r="M286" s="49"/>
    </row>
    <row r="287" spans="2:13" ht="13.2">
      <c r="B287" s="67"/>
      <c r="C287" s="35"/>
      <c r="G287" s="49"/>
      <c r="H287" s="49"/>
      <c r="L287" s="49"/>
      <c r="M287" s="49"/>
    </row>
    <row r="288" spans="2:13" ht="13.2">
      <c r="B288" s="67"/>
      <c r="C288" s="35"/>
      <c r="G288" s="49"/>
      <c r="H288" s="49"/>
      <c r="L288" s="49"/>
      <c r="M288" s="49"/>
    </row>
    <row r="289" spans="2:13" ht="13.2">
      <c r="B289" s="67"/>
      <c r="C289" s="35"/>
      <c r="G289" s="49"/>
      <c r="H289" s="49"/>
      <c r="L289" s="49"/>
      <c r="M289" s="49"/>
    </row>
    <row r="290" spans="2:13" ht="13.2">
      <c r="B290" s="67"/>
      <c r="C290" s="35"/>
      <c r="G290" s="49"/>
      <c r="H290" s="49"/>
      <c r="L290" s="49"/>
      <c r="M290" s="49"/>
    </row>
    <row r="291" spans="2:13" ht="13.2">
      <c r="B291" s="67"/>
      <c r="C291" s="35"/>
      <c r="G291" s="49"/>
      <c r="H291" s="49"/>
      <c r="L291" s="49"/>
      <c r="M291" s="49"/>
    </row>
    <row r="292" spans="2:13" ht="13.2">
      <c r="B292" s="67"/>
      <c r="C292" s="35"/>
      <c r="G292" s="49"/>
      <c r="H292" s="49"/>
      <c r="L292" s="49"/>
      <c r="M292" s="49"/>
    </row>
    <row r="293" spans="2:13" ht="13.2">
      <c r="B293" s="67"/>
      <c r="C293" s="35"/>
      <c r="G293" s="49"/>
      <c r="H293" s="49"/>
      <c r="L293" s="49"/>
      <c r="M293" s="49"/>
    </row>
    <row r="294" spans="2:13" ht="13.2">
      <c r="B294" s="67"/>
      <c r="C294" s="35"/>
      <c r="G294" s="49"/>
      <c r="H294" s="49"/>
      <c r="L294" s="49"/>
      <c r="M294" s="49"/>
    </row>
    <row r="295" spans="2:13" ht="13.2">
      <c r="B295" s="67"/>
      <c r="C295" s="35"/>
      <c r="G295" s="49"/>
      <c r="H295" s="49"/>
      <c r="L295" s="49"/>
      <c r="M295" s="49"/>
    </row>
    <row r="296" spans="2:13" ht="13.2">
      <c r="B296" s="67"/>
      <c r="C296" s="35"/>
      <c r="G296" s="49"/>
      <c r="H296" s="49"/>
      <c r="L296" s="49"/>
      <c r="M296" s="49"/>
    </row>
    <row r="297" spans="2:13" ht="13.2">
      <c r="B297" s="67"/>
      <c r="C297" s="35"/>
      <c r="G297" s="49"/>
      <c r="H297" s="49"/>
      <c r="L297" s="49"/>
      <c r="M297" s="49"/>
    </row>
    <row r="298" spans="2:13" ht="13.2">
      <c r="B298" s="67"/>
      <c r="C298" s="35"/>
      <c r="G298" s="49"/>
      <c r="H298" s="49"/>
      <c r="L298" s="49"/>
      <c r="M298" s="49"/>
    </row>
    <row r="299" spans="2:13" ht="13.2">
      <c r="B299" s="67"/>
      <c r="C299" s="35"/>
      <c r="G299" s="49"/>
      <c r="H299" s="49"/>
      <c r="L299" s="49"/>
      <c r="M299" s="49"/>
    </row>
    <row r="300" spans="2:13" ht="13.2">
      <c r="B300" s="67"/>
      <c r="C300" s="35"/>
      <c r="G300" s="49"/>
      <c r="H300" s="49"/>
      <c r="L300" s="49"/>
      <c r="M300" s="49"/>
    </row>
    <row r="301" spans="2:13" ht="13.2">
      <c r="B301" s="67"/>
      <c r="C301" s="35"/>
      <c r="G301" s="49"/>
      <c r="H301" s="49"/>
      <c r="L301" s="49"/>
      <c r="M301" s="49"/>
    </row>
    <row r="302" spans="2:13" ht="13.2">
      <c r="B302" s="67"/>
      <c r="C302" s="35"/>
      <c r="G302" s="49"/>
      <c r="H302" s="49"/>
      <c r="L302" s="49"/>
      <c r="M302" s="49"/>
    </row>
    <row r="303" spans="2:13" ht="13.2">
      <c r="B303" s="67"/>
      <c r="C303" s="35"/>
      <c r="G303" s="49"/>
      <c r="H303" s="49"/>
      <c r="L303" s="49"/>
      <c r="M303" s="49"/>
    </row>
    <row r="304" spans="2:13" ht="13.2">
      <c r="B304" s="67"/>
      <c r="C304" s="35"/>
      <c r="G304" s="49"/>
      <c r="H304" s="49"/>
      <c r="L304" s="49"/>
      <c r="M304" s="49"/>
    </row>
    <row r="305" spans="2:13" ht="13.2">
      <c r="B305" s="67"/>
      <c r="C305" s="35"/>
      <c r="G305" s="49"/>
      <c r="H305" s="49"/>
      <c r="L305" s="49"/>
      <c r="M305" s="49"/>
    </row>
    <row r="306" spans="2:13" ht="13.2">
      <c r="B306" s="67"/>
      <c r="C306" s="35"/>
      <c r="G306" s="49"/>
      <c r="H306" s="49"/>
      <c r="L306" s="49"/>
      <c r="M306" s="49"/>
    </row>
    <row r="307" spans="2:13" ht="13.2">
      <c r="B307" s="67"/>
      <c r="C307" s="35"/>
      <c r="G307" s="49"/>
      <c r="H307" s="49"/>
      <c r="L307" s="49"/>
      <c r="M307" s="49"/>
    </row>
    <row r="308" spans="2:13" ht="13.2">
      <c r="B308" s="67"/>
      <c r="C308" s="35"/>
      <c r="G308" s="49"/>
      <c r="H308" s="49"/>
      <c r="L308" s="49"/>
      <c r="M308" s="49"/>
    </row>
    <row r="309" spans="2:13" ht="13.2">
      <c r="B309" s="67"/>
      <c r="C309" s="35"/>
      <c r="G309" s="49"/>
      <c r="H309" s="49"/>
      <c r="L309" s="49"/>
      <c r="M309" s="49"/>
    </row>
    <row r="310" spans="2:13" ht="13.2">
      <c r="B310" s="67"/>
      <c r="C310" s="35"/>
      <c r="G310" s="49"/>
      <c r="H310" s="49"/>
      <c r="L310" s="49"/>
      <c r="M310" s="49"/>
    </row>
    <row r="311" spans="2:13" ht="13.2">
      <c r="B311" s="67"/>
      <c r="C311" s="35"/>
      <c r="G311" s="49"/>
      <c r="H311" s="49"/>
      <c r="L311" s="49"/>
      <c r="M311" s="49"/>
    </row>
    <row r="312" spans="2:13" ht="13.2">
      <c r="B312" s="67"/>
      <c r="C312" s="35"/>
      <c r="G312" s="49"/>
      <c r="H312" s="49"/>
      <c r="L312" s="49"/>
      <c r="M312" s="49"/>
    </row>
    <row r="313" spans="2:13" ht="13.2">
      <c r="B313" s="67"/>
      <c r="C313" s="35"/>
      <c r="G313" s="49"/>
      <c r="H313" s="49"/>
      <c r="L313" s="49"/>
      <c r="M313" s="49"/>
    </row>
    <row r="314" spans="2:13" ht="13.2">
      <c r="B314" s="67"/>
      <c r="C314" s="35"/>
      <c r="G314" s="49"/>
      <c r="H314" s="49"/>
      <c r="L314" s="49"/>
      <c r="M314" s="49"/>
    </row>
    <row r="315" spans="2:13" ht="13.2">
      <c r="B315" s="67"/>
      <c r="C315" s="35"/>
      <c r="G315" s="49"/>
      <c r="H315" s="49"/>
      <c r="L315" s="49"/>
      <c r="M315" s="49"/>
    </row>
    <row r="316" spans="2:13" ht="13.2">
      <c r="B316" s="67"/>
      <c r="C316" s="35"/>
      <c r="G316" s="49"/>
      <c r="H316" s="49"/>
      <c r="L316" s="49"/>
      <c r="M316" s="49"/>
    </row>
    <row r="317" spans="2:13" ht="13.2">
      <c r="B317" s="67"/>
      <c r="C317" s="35"/>
      <c r="G317" s="49"/>
      <c r="H317" s="49"/>
      <c r="L317" s="49"/>
      <c r="M317" s="49"/>
    </row>
    <row r="318" spans="2:13" ht="13.2">
      <c r="B318" s="67"/>
      <c r="C318" s="35"/>
      <c r="G318" s="49"/>
      <c r="H318" s="49"/>
      <c r="L318" s="49"/>
      <c r="M318" s="49"/>
    </row>
    <row r="319" spans="2:13" ht="13.2">
      <c r="B319" s="67"/>
      <c r="C319" s="35"/>
      <c r="G319" s="49"/>
      <c r="H319" s="49"/>
      <c r="L319" s="49"/>
      <c r="M319" s="49"/>
    </row>
    <row r="320" spans="2:13" ht="13.2">
      <c r="B320" s="67"/>
      <c r="C320" s="35"/>
      <c r="G320" s="49"/>
      <c r="H320" s="49"/>
      <c r="L320" s="49"/>
      <c r="M320" s="49"/>
    </row>
    <row r="321" spans="2:13" ht="13.2">
      <c r="B321" s="67"/>
      <c r="C321" s="35"/>
      <c r="G321" s="49"/>
      <c r="H321" s="49"/>
      <c r="L321" s="49"/>
      <c r="M321" s="49"/>
    </row>
    <row r="322" spans="2:13" ht="13.2">
      <c r="B322" s="67"/>
      <c r="C322" s="35"/>
      <c r="G322" s="49"/>
      <c r="H322" s="49"/>
      <c r="L322" s="49"/>
      <c r="M322" s="49"/>
    </row>
    <row r="323" spans="2:13" ht="13.2">
      <c r="B323" s="67"/>
      <c r="C323" s="35"/>
      <c r="G323" s="49"/>
      <c r="H323" s="49"/>
      <c r="L323" s="49"/>
      <c r="M323" s="49"/>
    </row>
    <row r="324" spans="2:13" ht="13.2">
      <c r="B324" s="67"/>
      <c r="C324" s="35"/>
      <c r="G324" s="49"/>
      <c r="H324" s="49"/>
      <c r="L324" s="49"/>
      <c r="M324" s="49"/>
    </row>
    <row r="325" spans="2:13" ht="13.2">
      <c r="B325" s="67"/>
      <c r="C325" s="35"/>
      <c r="G325" s="49"/>
      <c r="H325" s="49"/>
      <c r="L325" s="49"/>
      <c r="M325" s="49"/>
    </row>
    <row r="326" spans="2:13" ht="13.2">
      <c r="B326" s="67"/>
      <c r="C326" s="35"/>
      <c r="G326" s="49"/>
      <c r="H326" s="49"/>
      <c r="L326" s="49"/>
      <c r="M326" s="49"/>
    </row>
    <row r="327" spans="2:13" ht="13.2">
      <c r="B327" s="67"/>
      <c r="C327" s="35"/>
      <c r="G327" s="49"/>
      <c r="H327" s="49"/>
      <c r="L327" s="49"/>
      <c r="M327" s="49"/>
    </row>
    <row r="328" spans="2:13" ht="13.2">
      <c r="B328" s="67"/>
      <c r="C328" s="35"/>
      <c r="G328" s="49"/>
      <c r="H328" s="49"/>
      <c r="L328" s="49"/>
      <c r="M328" s="49"/>
    </row>
    <row r="329" spans="2:13" ht="13.2">
      <c r="B329" s="67"/>
      <c r="C329" s="35"/>
      <c r="G329" s="49"/>
      <c r="H329" s="49"/>
      <c r="L329" s="49"/>
      <c r="M329" s="49"/>
    </row>
    <row r="330" spans="2:13" ht="13.2">
      <c r="B330" s="67"/>
      <c r="C330" s="35"/>
      <c r="G330" s="49"/>
      <c r="H330" s="49"/>
      <c r="L330" s="49"/>
      <c r="M330" s="49"/>
    </row>
    <row r="331" spans="2:13" ht="13.2">
      <c r="B331" s="67"/>
      <c r="C331" s="35"/>
      <c r="G331" s="49"/>
      <c r="H331" s="49"/>
      <c r="L331" s="49"/>
      <c r="M331" s="49"/>
    </row>
    <row r="332" spans="2:13" ht="13.2">
      <c r="B332" s="67"/>
      <c r="C332" s="35"/>
      <c r="G332" s="49"/>
      <c r="H332" s="49"/>
      <c r="L332" s="49"/>
      <c r="M332" s="49"/>
    </row>
    <row r="333" spans="2:13" ht="13.2">
      <c r="B333" s="67"/>
      <c r="C333" s="35"/>
      <c r="G333" s="49"/>
      <c r="H333" s="49"/>
      <c r="L333" s="49"/>
      <c r="M333" s="49"/>
    </row>
    <row r="334" spans="2:13" ht="13.2">
      <c r="B334" s="67"/>
      <c r="C334" s="35"/>
      <c r="G334" s="49"/>
      <c r="H334" s="49"/>
      <c r="L334" s="49"/>
      <c r="M334" s="49"/>
    </row>
    <row r="335" spans="2:13" ht="13.2">
      <c r="B335" s="67"/>
      <c r="C335" s="35"/>
      <c r="G335" s="49"/>
      <c r="H335" s="49"/>
      <c r="L335" s="49"/>
      <c r="M335" s="49"/>
    </row>
    <row r="336" spans="2:13" ht="13.2">
      <c r="B336" s="67"/>
      <c r="C336" s="35"/>
      <c r="G336" s="49"/>
      <c r="H336" s="49"/>
      <c r="L336" s="49"/>
      <c r="M336" s="49"/>
    </row>
    <row r="337" spans="2:13" ht="13.2">
      <c r="B337" s="67"/>
      <c r="C337" s="35"/>
      <c r="G337" s="49"/>
      <c r="H337" s="49"/>
      <c r="L337" s="49"/>
      <c r="M337" s="49"/>
    </row>
    <row r="338" spans="2:13" ht="13.2">
      <c r="B338" s="67"/>
      <c r="C338" s="35"/>
      <c r="G338" s="49"/>
      <c r="H338" s="49"/>
      <c r="L338" s="49"/>
      <c r="M338" s="49"/>
    </row>
    <row r="339" spans="2:13" ht="13.2">
      <c r="B339" s="67"/>
      <c r="C339" s="35"/>
      <c r="G339" s="49"/>
      <c r="H339" s="49"/>
      <c r="L339" s="49"/>
      <c r="M339" s="49"/>
    </row>
    <row r="340" spans="2:13" ht="13.2">
      <c r="B340" s="67"/>
      <c r="C340" s="35"/>
      <c r="G340" s="49"/>
      <c r="H340" s="49"/>
      <c r="L340" s="49"/>
      <c r="M340" s="49"/>
    </row>
    <row r="341" spans="2:13" ht="13.2">
      <c r="B341" s="67"/>
      <c r="C341" s="35"/>
      <c r="G341" s="49"/>
      <c r="H341" s="49"/>
      <c r="L341" s="49"/>
      <c r="M341" s="49"/>
    </row>
    <row r="342" spans="2:13" ht="13.2">
      <c r="B342" s="67"/>
      <c r="C342" s="35"/>
      <c r="G342" s="49"/>
      <c r="H342" s="49"/>
      <c r="L342" s="49"/>
      <c r="M342" s="49"/>
    </row>
    <row r="343" spans="2:13" ht="13.2">
      <c r="B343" s="67"/>
      <c r="C343" s="35"/>
      <c r="G343" s="49"/>
      <c r="H343" s="49"/>
      <c r="L343" s="49"/>
      <c r="M343" s="49"/>
    </row>
    <row r="344" spans="2:13" ht="13.2">
      <c r="B344" s="67"/>
      <c r="C344" s="35"/>
      <c r="G344" s="49"/>
      <c r="H344" s="49"/>
      <c r="L344" s="49"/>
      <c r="M344" s="49"/>
    </row>
    <row r="345" spans="2:13" ht="13.2">
      <c r="B345" s="67"/>
      <c r="C345" s="35"/>
      <c r="G345" s="49"/>
      <c r="H345" s="49"/>
      <c r="L345" s="49"/>
      <c r="M345" s="49"/>
    </row>
    <row r="346" spans="2:13" ht="13.2">
      <c r="B346" s="67"/>
      <c r="C346" s="35"/>
      <c r="G346" s="49"/>
      <c r="H346" s="49"/>
      <c r="L346" s="49"/>
      <c r="M346" s="49"/>
    </row>
    <row r="347" spans="2:13" ht="13.2">
      <c r="B347" s="67"/>
      <c r="C347" s="35"/>
      <c r="G347" s="49"/>
      <c r="H347" s="49"/>
      <c r="L347" s="49"/>
      <c r="M347" s="49"/>
    </row>
    <row r="348" spans="2:13" ht="13.2">
      <c r="B348" s="67"/>
      <c r="C348" s="35"/>
      <c r="G348" s="49"/>
      <c r="H348" s="49"/>
      <c r="L348" s="49"/>
      <c r="M348" s="49"/>
    </row>
    <row r="349" spans="2:13" ht="13.2">
      <c r="B349" s="67"/>
      <c r="C349" s="35"/>
      <c r="G349" s="49"/>
      <c r="H349" s="49"/>
      <c r="L349" s="49"/>
      <c r="M349" s="49"/>
    </row>
    <row r="350" spans="2:13" ht="13.2">
      <c r="B350" s="67"/>
      <c r="C350" s="35"/>
      <c r="G350" s="49"/>
      <c r="H350" s="49"/>
      <c r="L350" s="49"/>
      <c r="M350" s="49"/>
    </row>
    <row r="351" spans="2:13" ht="13.2">
      <c r="B351" s="67"/>
      <c r="C351" s="35"/>
      <c r="G351" s="49"/>
      <c r="H351" s="49"/>
      <c r="L351" s="49"/>
      <c r="M351" s="49"/>
    </row>
    <row r="352" spans="2:13" ht="13.2">
      <c r="B352" s="67"/>
      <c r="C352" s="35"/>
      <c r="G352" s="49"/>
      <c r="H352" s="49"/>
      <c r="L352" s="49"/>
      <c r="M352" s="49"/>
    </row>
    <row r="353" spans="2:13" ht="13.2">
      <c r="B353" s="67"/>
      <c r="C353" s="35"/>
      <c r="G353" s="49"/>
      <c r="H353" s="49"/>
      <c r="L353" s="49"/>
      <c r="M353" s="49"/>
    </row>
    <row r="354" spans="2:13" ht="13.2">
      <c r="B354" s="67"/>
      <c r="C354" s="35"/>
      <c r="G354" s="49"/>
      <c r="H354" s="49"/>
      <c r="L354" s="49"/>
      <c r="M354" s="49"/>
    </row>
    <row r="355" spans="2:13" ht="13.2">
      <c r="B355" s="67"/>
      <c r="C355" s="35"/>
      <c r="G355" s="49"/>
      <c r="H355" s="49"/>
      <c r="L355" s="49"/>
      <c r="M355" s="49"/>
    </row>
    <row r="356" spans="2:13" ht="13.2">
      <c r="B356" s="67"/>
      <c r="C356" s="35"/>
      <c r="G356" s="49"/>
      <c r="H356" s="49"/>
      <c r="L356" s="49"/>
      <c r="M356" s="49"/>
    </row>
    <row r="357" spans="2:13" ht="13.2">
      <c r="B357" s="67"/>
      <c r="C357" s="35"/>
      <c r="G357" s="49"/>
      <c r="H357" s="49"/>
      <c r="L357" s="49"/>
      <c r="M357" s="49"/>
    </row>
    <row r="358" spans="2:13" ht="13.2">
      <c r="B358" s="67"/>
      <c r="C358" s="35"/>
      <c r="G358" s="49"/>
      <c r="H358" s="49"/>
      <c r="L358" s="49"/>
      <c r="M358" s="49"/>
    </row>
    <row r="359" spans="2:13" ht="13.2">
      <c r="B359" s="67"/>
      <c r="C359" s="35"/>
      <c r="G359" s="49"/>
      <c r="H359" s="49"/>
      <c r="L359" s="49"/>
      <c r="M359" s="49"/>
    </row>
    <row r="360" spans="2:13" ht="13.2">
      <c r="B360" s="67"/>
      <c r="C360" s="35"/>
      <c r="G360" s="49"/>
      <c r="H360" s="49"/>
      <c r="L360" s="49"/>
      <c r="M360" s="49"/>
    </row>
    <row r="361" spans="2:13" ht="13.2">
      <c r="B361" s="67"/>
      <c r="C361" s="35"/>
      <c r="G361" s="49"/>
      <c r="H361" s="49"/>
      <c r="L361" s="49"/>
      <c r="M361" s="49"/>
    </row>
    <row r="362" spans="2:13" ht="13.2">
      <c r="B362" s="67"/>
      <c r="C362" s="35"/>
      <c r="G362" s="49"/>
      <c r="H362" s="49"/>
      <c r="L362" s="49"/>
      <c r="M362" s="49"/>
    </row>
    <row r="363" spans="2:13" ht="13.2">
      <c r="B363" s="67"/>
      <c r="C363" s="35"/>
      <c r="G363" s="49"/>
      <c r="H363" s="49"/>
      <c r="L363" s="49"/>
      <c r="M363" s="49"/>
    </row>
    <row r="364" spans="2:13" ht="13.2">
      <c r="B364" s="67"/>
      <c r="C364" s="35"/>
      <c r="G364" s="49"/>
      <c r="H364" s="49"/>
      <c r="L364" s="49"/>
      <c r="M364" s="49"/>
    </row>
    <row r="365" spans="2:13" ht="13.2">
      <c r="B365" s="67"/>
      <c r="C365" s="35"/>
      <c r="G365" s="49"/>
      <c r="H365" s="49"/>
      <c r="L365" s="49"/>
      <c r="M365" s="49"/>
    </row>
    <row r="366" spans="2:13" ht="13.2">
      <c r="B366" s="67"/>
      <c r="C366" s="35"/>
      <c r="G366" s="49"/>
      <c r="H366" s="49"/>
      <c r="L366" s="49"/>
      <c r="M366" s="49"/>
    </row>
    <row r="367" spans="2:13" ht="13.2">
      <c r="B367" s="67"/>
      <c r="C367" s="35"/>
      <c r="G367" s="49"/>
      <c r="H367" s="49"/>
      <c r="L367" s="49"/>
      <c r="M367" s="49"/>
    </row>
    <row r="368" spans="2:13" ht="13.2">
      <c r="B368" s="67"/>
      <c r="C368" s="35"/>
      <c r="G368" s="49"/>
      <c r="H368" s="49"/>
      <c r="L368" s="49"/>
      <c r="M368" s="49"/>
    </row>
    <row r="369" spans="2:13" ht="13.2">
      <c r="B369" s="67"/>
      <c r="C369" s="35"/>
      <c r="G369" s="49"/>
      <c r="H369" s="49"/>
      <c r="L369" s="49"/>
      <c r="M369" s="49"/>
    </row>
    <row r="370" spans="2:13" ht="13.2">
      <c r="B370" s="67"/>
      <c r="C370" s="35"/>
      <c r="G370" s="49"/>
      <c r="H370" s="49"/>
      <c r="L370" s="49"/>
      <c r="M370" s="49"/>
    </row>
    <row r="371" spans="2:13" ht="13.2">
      <c r="B371" s="67"/>
      <c r="C371" s="35"/>
      <c r="G371" s="49"/>
      <c r="H371" s="49"/>
      <c r="L371" s="49"/>
      <c r="M371" s="49"/>
    </row>
    <row r="372" spans="2:13" ht="13.2">
      <c r="B372" s="67"/>
      <c r="C372" s="35"/>
      <c r="G372" s="49"/>
      <c r="H372" s="49"/>
      <c r="L372" s="49"/>
      <c r="M372" s="49"/>
    </row>
    <row r="373" spans="2:13" ht="13.2">
      <c r="B373" s="67"/>
      <c r="C373" s="35"/>
      <c r="G373" s="49"/>
      <c r="H373" s="49"/>
      <c r="L373" s="49"/>
      <c r="M373" s="49"/>
    </row>
    <row r="374" spans="2:13" ht="13.2">
      <c r="B374" s="67"/>
      <c r="C374" s="35"/>
      <c r="G374" s="49"/>
      <c r="H374" s="49"/>
      <c r="L374" s="49"/>
      <c r="M374" s="49"/>
    </row>
    <row r="375" spans="2:13" ht="13.2">
      <c r="B375" s="67"/>
      <c r="C375" s="35"/>
      <c r="G375" s="49"/>
      <c r="H375" s="49"/>
      <c r="L375" s="49"/>
      <c r="M375" s="49"/>
    </row>
    <row r="376" spans="2:13" ht="13.2">
      <c r="B376" s="67"/>
      <c r="C376" s="35"/>
      <c r="G376" s="49"/>
      <c r="H376" s="49"/>
      <c r="L376" s="49"/>
      <c r="M376" s="49"/>
    </row>
    <row r="377" spans="2:13" ht="13.2">
      <c r="B377" s="67"/>
      <c r="C377" s="35"/>
      <c r="G377" s="49"/>
      <c r="H377" s="49"/>
      <c r="L377" s="49"/>
      <c r="M377" s="49"/>
    </row>
    <row r="378" spans="2:13" ht="13.2">
      <c r="B378" s="67"/>
      <c r="C378" s="35"/>
      <c r="G378" s="49"/>
      <c r="H378" s="49"/>
      <c r="L378" s="49"/>
      <c r="M378" s="49"/>
    </row>
    <row r="379" spans="2:13" ht="13.2">
      <c r="B379" s="67"/>
      <c r="C379" s="35"/>
      <c r="G379" s="49"/>
      <c r="H379" s="49"/>
      <c r="L379" s="49"/>
      <c r="M379" s="49"/>
    </row>
    <row r="380" spans="2:13" ht="13.2">
      <c r="B380" s="67"/>
      <c r="C380" s="35"/>
      <c r="G380" s="49"/>
      <c r="H380" s="49"/>
      <c r="L380" s="49"/>
      <c r="M380" s="49"/>
    </row>
    <row r="381" spans="2:13" ht="13.2">
      <c r="B381" s="67"/>
      <c r="C381" s="35"/>
      <c r="G381" s="49"/>
      <c r="H381" s="49"/>
      <c r="L381" s="49"/>
      <c r="M381" s="49"/>
    </row>
    <row r="382" spans="2:13" ht="13.2">
      <c r="B382" s="67"/>
      <c r="C382" s="35"/>
      <c r="G382" s="49"/>
      <c r="H382" s="49"/>
      <c r="L382" s="49"/>
      <c r="M382" s="49"/>
    </row>
    <row r="383" spans="2:13" ht="13.2">
      <c r="B383" s="67"/>
      <c r="C383" s="35"/>
      <c r="G383" s="49"/>
      <c r="H383" s="49"/>
      <c r="L383" s="49"/>
      <c r="M383" s="49"/>
    </row>
    <row r="384" spans="2:13" ht="13.2">
      <c r="B384" s="67"/>
      <c r="C384" s="35"/>
      <c r="G384" s="49"/>
      <c r="H384" s="49"/>
      <c r="L384" s="49"/>
      <c r="M384" s="49"/>
    </row>
    <row r="385" spans="2:13" ht="13.2">
      <c r="B385" s="67"/>
      <c r="C385" s="35"/>
      <c r="G385" s="49"/>
      <c r="H385" s="49"/>
      <c r="L385" s="49"/>
      <c r="M385" s="49"/>
    </row>
    <row r="386" spans="2:13" ht="13.2">
      <c r="B386" s="67"/>
      <c r="C386" s="35"/>
      <c r="G386" s="49"/>
      <c r="H386" s="49"/>
      <c r="L386" s="49"/>
      <c r="M386" s="49"/>
    </row>
    <row r="387" spans="2:13" ht="13.2">
      <c r="B387" s="67"/>
      <c r="C387" s="35"/>
      <c r="G387" s="49"/>
      <c r="H387" s="49"/>
      <c r="L387" s="49"/>
      <c r="M387" s="49"/>
    </row>
    <row r="388" spans="2:13" ht="13.2">
      <c r="B388" s="67"/>
      <c r="C388" s="35"/>
      <c r="G388" s="49"/>
      <c r="H388" s="49"/>
      <c r="L388" s="49"/>
      <c r="M388" s="49"/>
    </row>
    <row r="389" spans="2:13" ht="13.2">
      <c r="B389" s="67"/>
      <c r="C389" s="35"/>
      <c r="G389" s="49"/>
      <c r="H389" s="49"/>
      <c r="L389" s="49"/>
      <c r="M389" s="49"/>
    </row>
    <row r="390" spans="2:13" ht="13.2">
      <c r="B390" s="67"/>
      <c r="C390" s="35"/>
      <c r="G390" s="49"/>
      <c r="H390" s="49"/>
      <c r="L390" s="49"/>
      <c r="M390" s="49"/>
    </row>
    <row r="391" spans="2:13" ht="13.2">
      <c r="B391" s="67"/>
      <c r="C391" s="35"/>
      <c r="G391" s="49"/>
      <c r="H391" s="49"/>
      <c r="L391" s="49"/>
      <c r="M391" s="49"/>
    </row>
    <row r="392" spans="2:13" ht="13.2">
      <c r="B392" s="67"/>
      <c r="C392" s="35"/>
      <c r="G392" s="49"/>
      <c r="H392" s="49"/>
      <c r="L392" s="49"/>
      <c r="M392" s="49"/>
    </row>
    <row r="393" spans="2:13" ht="13.2">
      <c r="B393" s="67"/>
      <c r="C393" s="35"/>
      <c r="G393" s="49"/>
      <c r="H393" s="49"/>
      <c r="L393" s="49"/>
      <c r="M393" s="49"/>
    </row>
    <row r="394" spans="2:13" ht="13.2">
      <c r="B394" s="67"/>
      <c r="C394" s="35"/>
      <c r="G394" s="49"/>
      <c r="H394" s="49"/>
      <c r="L394" s="49"/>
      <c r="M394" s="49"/>
    </row>
    <row r="395" spans="2:13" ht="13.2">
      <c r="B395" s="67"/>
      <c r="C395" s="35"/>
      <c r="G395" s="49"/>
      <c r="H395" s="49"/>
      <c r="L395" s="49"/>
      <c r="M395" s="49"/>
    </row>
    <row r="396" spans="2:13" ht="13.2">
      <c r="B396" s="67"/>
      <c r="C396" s="35"/>
      <c r="G396" s="49"/>
      <c r="H396" s="49"/>
      <c r="L396" s="49"/>
      <c r="M396" s="49"/>
    </row>
    <row r="397" spans="2:13" ht="13.2">
      <c r="B397" s="67"/>
      <c r="C397" s="35"/>
      <c r="G397" s="49"/>
      <c r="H397" s="49"/>
      <c r="L397" s="49"/>
      <c r="M397" s="49"/>
    </row>
    <row r="398" spans="2:13" ht="13.2">
      <c r="B398" s="67"/>
      <c r="C398" s="35"/>
      <c r="G398" s="49"/>
      <c r="H398" s="49"/>
      <c r="L398" s="49"/>
      <c r="M398" s="49"/>
    </row>
    <row r="399" spans="2:13" ht="13.2">
      <c r="B399" s="67"/>
      <c r="C399" s="35"/>
      <c r="G399" s="49"/>
      <c r="H399" s="49"/>
      <c r="L399" s="49"/>
      <c r="M399" s="49"/>
    </row>
    <row r="400" spans="2:13" ht="13.2">
      <c r="B400" s="67"/>
      <c r="C400" s="35"/>
      <c r="G400" s="49"/>
      <c r="H400" s="49"/>
      <c r="L400" s="49"/>
      <c r="M400" s="49"/>
    </row>
    <row r="401" spans="2:13" ht="13.2">
      <c r="B401" s="67"/>
      <c r="C401" s="35"/>
      <c r="G401" s="49"/>
      <c r="H401" s="49"/>
      <c r="L401" s="49"/>
      <c r="M401" s="49"/>
    </row>
    <row r="402" spans="2:13" ht="13.2">
      <c r="B402" s="67"/>
      <c r="C402" s="35"/>
      <c r="G402" s="49"/>
      <c r="H402" s="49"/>
      <c r="L402" s="49"/>
      <c r="M402" s="49"/>
    </row>
    <row r="403" spans="2:13" ht="13.2">
      <c r="B403" s="67"/>
      <c r="C403" s="35"/>
      <c r="G403" s="49"/>
      <c r="H403" s="49"/>
      <c r="L403" s="49"/>
      <c r="M403" s="49"/>
    </row>
    <row r="404" spans="2:13" ht="13.2">
      <c r="B404" s="67"/>
      <c r="C404" s="35"/>
      <c r="G404" s="49"/>
      <c r="H404" s="49"/>
      <c r="L404" s="49"/>
      <c r="M404" s="49"/>
    </row>
    <row r="405" spans="2:13" ht="13.2">
      <c r="B405" s="67"/>
      <c r="C405" s="35"/>
      <c r="G405" s="49"/>
      <c r="H405" s="49"/>
      <c r="L405" s="49"/>
      <c r="M405" s="49"/>
    </row>
    <row r="406" spans="2:13" ht="13.2">
      <c r="B406" s="67"/>
      <c r="C406" s="35"/>
      <c r="G406" s="49"/>
      <c r="H406" s="49"/>
      <c r="L406" s="49"/>
      <c r="M406" s="49"/>
    </row>
    <row r="407" spans="2:13" ht="13.2">
      <c r="B407" s="67"/>
      <c r="C407" s="35"/>
      <c r="G407" s="49"/>
      <c r="H407" s="49"/>
      <c r="L407" s="49"/>
      <c r="M407" s="49"/>
    </row>
    <row r="408" spans="2:13" ht="13.2">
      <c r="B408" s="67"/>
      <c r="C408" s="35"/>
      <c r="G408" s="49"/>
      <c r="H408" s="49"/>
      <c r="L408" s="49"/>
      <c r="M408" s="49"/>
    </row>
    <row r="409" spans="2:13" ht="13.2">
      <c r="B409" s="67"/>
      <c r="C409" s="35"/>
      <c r="G409" s="49"/>
      <c r="H409" s="49"/>
      <c r="L409" s="49"/>
      <c r="M409" s="49"/>
    </row>
    <row r="410" spans="2:13" ht="13.2">
      <c r="B410" s="67"/>
      <c r="C410" s="35"/>
      <c r="G410" s="49"/>
      <c r="H410" s="49"/>
      <c r="L410" s="49"/>
      <c r="M410" s="49"/>
    </row>
    <row r="411" spans="2:13" ht="13.2">
      <c r="B411" s="67"/>
      <c r="C411" s="35"/>
      <c r="G411" s="49"/>
      <c r="H411" s="49"/>
      <c r="L411" s="49"/>
      <c r="M411" s="49"/>
    </row>
    <row r="412" spans="2:13" ht="13.2">
      <c r="B412" s="67"/>
      <c r="C412" s="35"/>
      <c r="G412" s="49"/>
      <c r="H412" s="49"/>
      <c r="L412" s="49"/>
      <c r="M412" s="49"/>
    </row>
    <row r="413" spans="2:13" ht="13.2">
      <c r="B413" s="67"/>
      <c r="C413" s="35"/>
      <c r="G413" s="49"/>
      <c r="H413" s="49"/>
      <c r="L413" s="49"/>
      <c r="M413" s="49"/>
    </row>
    <row r="414" spans="2:13" ht="13.2">
      <c r="B414" s="67"/>
      <c r="C414" s="35"/>
      <c r="G414" s="49"/>
      <c r="H414" s="49"/>
      <c r="L414" s="49"/>
      <c r="M414" s="49"/>
    </row>
    <row r="415" spans="2:13" ht="13.2">
      <c r="B415" s="67"/>
      <c r="C415" s="35"/>
      <c r="G415" s="49"/>
      <c r="H415" s="49"/>
      <c r="L415" s="49"/>
      <c r="M415" s="49"/>
    </row>
    <row r="416" spans="2:13" ht="13.2">
      <c r="B416" s="67"/>
      <c r="C416" s="35"/>
      <c r="G416" s="49"/>
      <c r="H416" s="49"/>
      <c r="L416" s="49"/>
      <c r="M416" s="49"/>
    </row>
    <row r="417" spans="2:13" ht="13.2">
      <c r="B417" s="67"/>
      <c r="C417" s="35"/>
      <c r="G417" s="49"/>
      <c r="H417" s="49"/>
      <c r="L417" s="49"/>
      <c r="M417" s="49"/>
    </row>
    <row r="418" spans="2:13" ht="13.2">
      <c r="B418" s="67"/>
      <c r="C418" s="35"/>
      <c r="G418" s="49"/>
      <c r="H418" s="49"/>
      <c r="L418" s="49"/>
      <c r="M418" s="49"/>
    </row>
    <row r="419" spans="2:13" ht="13.2">
      <c r="B419" s="67"/>
      <c r="C419" s="35"/>
      <c r="G419" s="49"/>
      <c r="H419" s="49"/>
      <c r="L419" s="49"/>
      <c r="M419" s="49"/>
    </row>
    <row r="420" spans="2:13" ht="13.2">
      <c r="B420" s="67"/>
      <c r="C420" s="35"/>
      <c r="G420" s="49"/>
      <c r="H420" s="49"/>
      <c r="L420" s="49"/>
      <c r="M420" s="49"/>
    </row>
    <row r="421" spans="2:13" ht="13.2">
      <c r="B421" s="67"/>
      <c r="C421" s="35"/>
      <c r="G421" s="49"/>
      <c r="H421" s="49"/>
      <c r="L421" s="49"/>
      <c r="M421" s="49"/>
    </row>
    <row r="422" spans="2:13" ht="13.2">
      <c r="B422" s="67"/>
      <c r="C422" s="35"/>
      <c r="G422" s="49"/>
      <c r="H422" s="49"/>
      <c r="L422" s="49"/>
      <c r="M422" s="49"/>
    </row>
    <row r="423" spans="2:13" ht="13.2">
      <c r="B423" s="67"/>
      <c r="C423" s="35"/>
      <c r="G423" s="49"/>
      <c r="H423" s="49"/>
      <c r="L423" s="49"/>
      <c r="M423" s="49"/>
    </row>
    <row r="424" spans="2:13" ht="13.2">
      <c r="B424" s="67"/>
      <c r="C424" s="35"/>
      <c r="G424" s="49"/>
      <c r="H424" s="49"/>
      <c r="L424" s="49"/>
      <c r="M424" s="49"/>
    </row>
    <row r="425" spans="2:13" ht="13.2">
      <c r="B425" s="67"/>
      <c r="C425" s="35"/>
      <c r="G425" s="49"/>
      <c r="H425" s="49"/>
      <c r="L425" s="49"/>
      <c r="M425" s="49"/>
    </row>
    <row r="426" spans="2:13" ht="13.2">
      <c r="B426" s="67"/>
      <c r="C426" s="35"/>
      <c r="G426" s="49"/>
      <c r="H426" s="49"/>
      <c r="L426" s="49"/>
      <c r="M426" s="49"/>
    </row>
    <row r="427" spans="2:13" ht="13.2">
      <c r="B427" s="67"/>
      <c r="C427" s="35"/>
      <c r="G427" s="49"/>
      <c r="H427" s="49"/>
      <c r="L427" s="49"/>
      <c r="M427" s="49"/>
    </row>
    <row r="428" spans="2:13" ht="13.2">
      <c r="B428" s="67"/>
      <c r="C428" s="35"/>
      <c r="G428" s="49"/>
      <c r="H428" s="49"/>
      <c r="L428" s="49"/>
      <c r="M428" s="49"/>
    </row>
    <row r="429" spans="2:13" ht="13.2">
      <c r="B429" s="67"/>
      <c r="C429" s="35"/>
      <c r="G429" s="49"/>
      <c r="H429" s="49"/>
      <c r="L429" s="49"/>
      <c r="M429" s="49"/>
    </row>
    <row r="430" spans="2:13" ht="13.2">
      <c r="B430" s="67"/>
      <c r="C430" s="35"/>
      <c r="G430" s="49"/>
      <c r="H430" s="49"/>
      <c r="L430" s="49"/>
      <c r="M430" s="49"/>
    </row>
    <row r="431" spans="2:13" ht="13.2">
      <c r="B431" s="67"/>
      <c r="C431" s="35"/>
      <c r="G431" s="49"/>
      <c r="H431" s="49"/>
      <c r="L431" s="49"/>
      <c r="M431" s="49"/>
    </row>
    <row r="432" spans="2:13" ht="13.2">
      <c r="B432" s="67"/>
      <c r="C432" s="35"/>
      <c r="G432" s="49"/>
      <c r="H432" s="49"/>
      <c r="L432" s="49"/>
      <c r="M432" s="49"/>
    </row>
    <row r="433" spans="2:13" ht="13.2">
      <c r="B433" s="67"/>
      <c r="C433" s="35"/>
      <c r="G433" s="49"/>
      <c r="H433" s="49"/>
      <c r="L433" s="49"/>
      <c r="M433" s="49"/>
    </row>
    <row r="434" spans="2:13" ht="13.2">
      <c r="B434" s="67"/>
      <c r="C434" s="35"/>
      <c r="G434" s="49"/>
      <c r="H434" s="49"/>
      <c r="L434" s="49"/>
      <c r="M434" s="49"/>
    </row>
    <row r="435" spans="2:13" ht="13.2">
      <c r="B435" s="67"/>
      <c r="C435" s="35"/>
      <c r="G435" s="49"/>
      <c r="H435" s="49"/>
      <c r="L435" s="49"/>
      <c r="M435" s="49"/>
    </row>
    <row r="436" spans="2:13" ht="13.2">
      <c r="B436" s="67"/>
      <c r="C436" s="35"/>
      <c r="G436" s="49"/>
      <c r="H436" s="49"/>
      <c r="L436" s="49"/>
      <c r="M436" s="49"/>
    </row>
    <row r="437" spans="2:13" ht="13.2">
      <c r="B437" s="67"/>
      <c r="C437" s="35"/>
      <c r="G437" s="49"/>
      <c r="H437" s="49"/>
      <c r="L437" s="49"/>
      <c r="M437" s="49"/>
    </row>
    <row r="438" spans="2:13" ht="13.2">
      <c r="B438" s="67"/>
      <c r="C438" s="35"/>
      <c r="G438" s="49"/>
      <c r="H438" s="49"/>
      <c r="L438" s="49"/>
      <c r="M438" s="49"/>
    </row>
    <row r="439" spans="2:13" ht="13.2">
      <c r="B439" s="67"/>
      <c r="C439" s="35"/>
      <c r="G439" s="49"/>
      <c r="H439" s="49"/>
      <c r="L439" s="49"/>
      <c r="M439" s="49"/>
    </row>
    <row r="440" spans="2:13" ht="13.2">
      <c r="B440" s="67"/>
      <c r="C440" s="35"/>
      <c r="G440" s="49"/>
      <c r="H440" s="49"/>
      <c r="L440" s="49"/>
      <c r="M440" s="49"/>
    </row>
    <row r="441" spans="2:13" ht="13.2">
      <c r="B441" s="67"/>
      <c r="C441" s="35"/>
      <c r="G441" s="49"/>
      <c r="H441" s="49"/>
      <c r="L441" s="49"/>
      <c r="M441" s="49"/>
    </row>
    <row r="442" spans="2:13" ht="13.2">
      <c r="B442" s="67"/>
      <c r="C442" s="35"/>
      <c r="G442" s="49"/>
      <c r="H442" s="49"/>
      <c r="L442" s="49"/>
      <c r="M442" s="49"/>
    </row>
    <row r="443" spans="2:13" ht="13.2">
      <c r="B443" s="67"/>
      <c r="C443" s="35"/>
      <c r="G443" s="49"/>
      <c r="H443" s="49"/>
      <c r="L443" s="49"/>
      <c r="M443" s="49"/>
    </row>
    <row r="444" spans="2:13" ht="13.2">
      <c r="B444" s="67"/>
      <c r="C444" s="35"/>
      <c r="G444" s="49"/>
      <c r="H444" s="49"/>
      <c r="L444" s="49"/>
      <c r="M444" s="49"/>
    </row>
    <row r="445" spans="2:13" ht="13.2">
      <c r="B445" s="67"/>
      <c r="C445" s="35"/>
      <c r="G445" s="49"/>
      <c r="H445" s="49"/>
      <c r="L445" s="49"/>
      <c r="M445" s="49"/>
    </row>
    <row r="446" spans="2:13" ht="13.2">
      <c r="B446" s="67"/>
      <c r="C446" s="35"/>
      <c r="G446" s="49"/>
      <c r="H446" s="49"/>
      <c r="L446" s="49"/>
      <c r="M446" s="49"/>
    </row>
    <row r="447" spans="2:13" ht="13.2">
      <c r="B447" s="67"/>
      <c r="C447" s="35"/>
      <c r="G447" s="49"/>
      <c r="H447" s="49"/>
      <c r="L447" s="49"/>
      <c r="M447" s="49"/>
    </row>
    <row r="448" spans="2:13" ht="13.2">
      <c r="B448" s="67"/>
      <c r="C448" s="35"/>
      <c r="G448" s="49"/>
      <c r="H448" s="49"/>
      <c r="L448" s="49"/>
      <c r="M448" s="49"/>
    </row>
    <row r="449" spans="2:13" ht="13.2">
      <c r="B449" s="67"/>
      <c r="C449" s="35"/>
      <c r="G449" s="49"/>
      <c r="H449" s="49"/>
      <c r="L449" s="49"/>
      <c r="M449" s="49"/>
    </row>
    <row r="450" spans="2:13" ht="13.2">
      <c r="B450" s="67"/>
      <c r="C450" s="35"/>
      <c r="G450" s="49"/>
      <c r="H450" s="49"/>
      <c r="L450" s="49"/>
      <c r="M450" s="49"/>
    </row>
    <row r="451" spans="2:13" ht="13.2">
      <c r="B451" s="67"/>
      <c r="C451" s="35"/>
      <c r="G451" s="49"/>
      <c r="H451" s="49"/>
      <c r="L451" s="49"/>
      <c r="M451" s="49"/>
    </row>
    <row r="452" spans="2:13" ht="13.2">
      <c r="B452" s="67"/>
      <c r="C452" s="35"/>
      <c r="G452" s="49"/>
      <c r="H452" s="49"/>
      <c r="L452" s="49"/>
      <c r="M452" s="49"/>
    </row>
    <row r="453" spans="2:13" ht="13.2">
      <c r="B453" s="67"/>
      <c r="C453" s="35"/>
      <c r="G453" s="49"/>
      <c r="H453" s="49"/>
      <c r="L453" s="49"/>
      <c r="M453" s="49"/>
    </row>
    <row r="454" spans="2:13" ht="13.2">
      <c r="B454" s="67"/>
      <c r="C454" s="35"/>
      <c r="G454" s="49"/>
      <c r="H454" s="49"/>
      <c r="L454" s="49"/>
      <c r="M454" s="49"/>
    </row>
    <row r="455" spans="2:13" ht="13.2">
      <c r="B455" s="67"/>
      <c r="C455" s="35"/>
      <c r="G455" s="49"/>
      <c r="H455" s="49"/>
      <c r="L455" s="49"/>
      <c r="M455" s="49"/>
    </row>
    <row r="456" spans="2:13" ht="13.2">
      <c r="B456" s="67"/>
      <c r="C456" s="35"/>
      <c r="G456" s="49"/>
      <c r="H456" s="49"/>
      <c r="L456" s="49"/>
      <c r="M456" s="49"/>
    </row>
    <row r="457" spans="2:13" ht="13.2">
      <c r="B457" s="67"/>
      <c r="C457" s="35"/>
      <c r="G457" s="49"/>
      <c r="H457" s="49"/>
      <c r="L457" s="49"/>
      <c r="M457" s="49"/>
    </row>
    <row r="458" spans="2:13" ht="13.2">
      <c r="B458" s="67"/>
      <c r="C458" s="35"/>
      <c r="G458" s="49"/>
      <c r="H458" s="49"/>
      <c r="L458" s="49"/>
      <c r="M458" s="49"/>
    </row>
    <row r="459" spans="2:13" ht="13.2">
      <c r="B459" s="67"/>
      <c r="C459" s="35"/>
      <c r="G459" s="49"/>
      <c r="H459" s="49"/>
      <c r="L459" s="49"/>
      <c r="M459" s="49"/>
    </row>
    <row r="460" spans="2:13" ht="13.2">
      <c r="B460" s="67"/>
      <c r="C460" s="35"/>
      <c r="G460" s="49"/>
      <c r="H460" s="49"/>
      <c r="L460" s="49"/>
      <c r="M460" s="49"/>
    </row>
    <row r="461" spans="2:13" ht="13.2">
      <c r="B461" s="67"/>
      <c r="C461" s="35"/>
      <c r="G461" s="49"/>
      <c r="H461" s="49"/>
      <c r="L461" s="49"/>
      <c r="M461" s="49"/>
    </row>
    <row r="462" spans="2:13" ht="13.2">
      <c r="B462" s="67"/>
      <c r="C462" s="35"/>
      <c r="G462" s="49"/>
      <c r="H462" s="49"/>
      <c r="L462" s="49"/>
      <c r="M462" s="49"/>
    </row>
    <row r="463" spans="2:13" ht="13.2">
      <c r="B463" s="67"/>
      <c r="C463" s="35"/>
      <c r="G463" s="49"/>
      <c r="H463" s="49"/>
      <c r="L463" s="49"/>
      <c r="M463" s="49"/>
    </row>
    <row r="464" spans="2:13" ht="13.2">
      <c r="B464" s="67"/>
      <c r="C464" s="35"/>
      <c r="G464" s="49"/>
      <c r="H464" s="49"/>
      <c r="L464" s="49"/>
      <c r="M464" s="49"/>
    </row>
    <row r="465" spans="2:13" ht="13.2">
      <c r="B465" s="67"/>
      <c r="C465" s="35"/>
      <c r="G465" s="49"/>
      <c r="H465" s="49"/>
      <c r="L465" s="49"/>
      <c r="M465" s="49"/>
    </row>
    <row r="466" spans="2:13" ht="13.2">
      <c r="B466" s="67"/>
      <c r="C466" s="35"/>
      <c r="G466" s="49"/>
      <c r="H466" s="49"/>
      <c r="L466" s="49"/>
      <c r="M466" s="49"/>
    </row>
    <row r="467" spans="2:13" ht="13.2">
      <c r="B467" s="67"/>
      <c r="C467" s="35"/>
      <c r="G467" s="49"/>
      <c r="H467" s="49"/>
      <c r="L467" s="49"/>
      <c r="M467" s="49"/>
    </row>
    <row r="468" spans="2:13" ht="13.2">
      <c r="B468" s="67"/>
      <c r="C468" s="35"/>
      <c r="G468" s="49"/>
      <c r="H468" s="49"/>
      <c r="L468" s="49"/>
      <c r="M468" s="49"/>
    </row>
    <row r="469" spans="2:13" ht="13.2">
      <c r="B469" s="67"/>
      <c r="C469" s="35"/>
      <c r="G469" s="49"/>
      <c r="H469" s="49"/>
      <c r="L469" s="49"/>
      <c r="M469" s="49"/>
    </row>
    <row r="470" spans="2:13" ht="13.2">
      <c r="B470" s="67"/>
      <c r="C470" s="35"/>
      <c r="G470" s="49"/>
      <c r="H470" s="49"/>
      <c r="L470" s="49"/>
      <c r="M470" s="49"/>
    </row>
    <row r="471" spans="2:13" ht="13.2">
      <c r="B471" s="67"/>
      <c r="C471" s="35"/>
      <c r="G471" s="49"/>
      <c r="H471" s="49"/>
      <c r="L471" s="49"/>
      <c r="M471" s="49"/>
    </row>
    <row r="472" spans="2:13" ht="13.2">
      <c r="B472" s="67"/>
      <c r="C472" s="35"/>
      <c r="G472" s="49"/>
      <c r="H472" s="49"/>
      <c r="L472" s="49"/>
      <c r="M472" s="49"/>
    </row>
    <row r="473" spans="2:13" ht="13.2">
      <c r="B473" s="67"/>
      <c r="C473" s="35"/>
      <c r="G473" s="49"/>
      <c r="H473" s="49"/>
      <c r="L473" s="49"/>
      <c r="M473" s="49"/>
    </row>
    <row r="474" spans="2:13" ht="13.2">
      <c r="B474" s="67"/>
      <c r="C474" s="35"/>
      <c r="G474" s="49"/>
      <c r="H474" s="49"/>
      <c r="L474" s="49"/>
      <c r="M474" s="49"/>
    </row>
    <row r="475" spans="2:13" ht="13.2">
      <c r="B475" s="67"/>
      <c r="C475" s="35"/>
      <c r="G475" s="49"/>
      <c r="H475" s="49"/>
      <c r="L475" s="49"/>
      <c r="M475" s="49"/>
    </row>
    <row r="476" spans="2:13" ht="13.2">
      <c r="B476" s="67"/>
      <c r="C476" s="35"/>
      <c r="G476" s="49"/>
      <c r="H476" s="49"/>
      <c r="L476" s="49"/>
      <c r="M476" s="49"/>
    </row>
    <row r="477" spans="2:13" ht="13.2">
      <c r="B477" s="67"/>
      <c r="C477" s="35"/>
      <c r="G477" s="49"/>
      <c r="H477" s="49"/>
      <c r="L477" s="49"/>
      <c r="M477" s="49"/>
    </row>
    <row r="478" spans="2:13" ht="13.2">
      <c r="B478" s="67"/>
      <c r="C478" s="35"/>
      <c r="G478" s="49"/>
      <c r="H478" s="49"/>
      <c r="L478" s="49"/>
      <c r="M478" s="49"/>
    </row>
    <row r="479" spans="2:13" ht="13.2">
      <c r="B479" s="67"/>
      <c r="C479" s="35"/>
      <c r="G479" s="49"/>
      <c r="H479" s="49"/>
      <c r="L479" s="49"/>
      <c r="M479" s="49"/>
    </row>
    <row r="480" spans="2:13" ht="13.2">
      <c r="B480" s="67"/>
      <c r="C480" s="35"/>
      <c r="G480" s="49"/>
      <c r="H480" s="49"/>
      <c r="L480" s="49"/>
      <c r="M480" s="49"/>
    </row>
    <row r="481" spans="2:13" ht="13.2">
      <c r="B481" s="67"/>
      <c r="C481" s="35"/>
      <c r="G481" s="49"/>
      <c r="H481" s="49"/>
      <c r="L481" s="49"/>
      <c r="M481" s="49"/>
    </row>
    <row r="482" spans="2:13" ht="13.2">
      <c r="B482" s="67"/>
      <c r="C482" s="35"/>
      <c r="G482" s="49"/>
      <c r="H482" s="49"/>
      <c r="L482" s="49"/>
      <c r="M482" s="49"/>
    </row>
    <row r="483" spans="2:13" ht="13.2">
      <c r="B483" s="67"/>
      <c r="C483" s="35"/>
      <c r="G483" s="49"/>
      <c r="H483" s="49"/>
      <c r="L483" s="49"/>
      <c r="M483" s="49"/>
    </row>
    <row r="484" spans="2:13" ht="13.2">
      <c r="B484" s="67"/>
      <c r="C484" s="35"/>
      <c r="G484" s="49"/>
      <c r="H484" s="49"/>
      <c r="L484" s="49"/>
      <c r="M484" s="49"/>
    </row>
    <row r="485" spans="2:13" ht="13.2">
      <c r="B485" s="67"/>
      <c r="C485" s="35"/>
      <c r="G485" s="49"/>
      <c r="H485" s="49"/>
      <c r="L485" s="49"/>
      <c r="M485" s="49"/>
    </row>
    <row r="486" spans="2:13" ht="13.2">
      <c r="B486" s="67"/>
      <c r="C486" s="35"/>
      <c r="G486" s="49"/>
      <c r="H486" s="49"/>
      <c r="L486" s="49"/>
      <c r="M486" s="49"/>
    </row>
    <row r="487" spans="2:13" ht="13.2">
      <c r="B487" s="67"/>
      <c r="C487" s="35"/>
      <c r="G487" s="49"/>
      <c r="H487" s="49"/>
      <c r="L487" s="49"/>
      <c r="M487" s="49"/>
    </row>
    <row r="488" spans="2:13" ht="13.2">
      <c r="B488" s="67"/>
      <c r="C488" s="35"/>
      <c r="G488" s="49"/>
      <c r="H488" s="49"/>
      <c r="L488" s="49"/>
      <c r="M488" s="49"/>
    </row>
    <row r="489" spans="2:13" ht="13.2">
      <c r="B489" s="67"/>
      <c r="C489" s="35"/>
      <c r="G489" s="49"/>
      <c r="H489" s="49"/>
      <c r="L489" s="49"/>
      <c r="M489" s="49"/>
    </row>
    <row r="490" spans="2:13" ht="13.2">
      <c r="B490" s="67"/>
      <c r="C490" s="35"/>
      <c r="G490" s="49"/>
      <c r="H490" s="49"/>
      <c r="L490" s="49"/>
      <c r="M490" s="49"/>
    </row>
    <row r="491" spans="2:13" ht="13.2">
      <c r="B491" s="67"/>
      <c r="C491" s="35"/>
      <c r="G491" s="49"/>
      <c r="H491" s="49"/>
      <c r="L491" s="49"/>
      <c r="M491" s="49"/>
    </row>
    <row r="492" spans="2:13" ht="13.2">
      <c r="B492" s="67"/>
      <c r="C492" s="35"/>
      <c r="G492" s="49"/>
      <c r="H492" s="49"/>
      <c r="L492" s="49"/>
      <c r="M492" s="49"/>
    </row>
    <row r="493" spans="2:13" ht="13.2">
      <c r="B493" s="67"/>
      <c r="C493" s="35"/>
      <c r="G493" s="49"/>
      <c r="H493" s="49"/>
      <c r="L493" s="49"/>
      <c r="M493" s="49"/>
    </row>
    <row r="494" spans="2:13" ht="13.2">
      <c r="B494" s="67"/>
      <c r="C494" s="35"/>
      <c r="G494" s="49"/>
      <c r="H494" s="49"/>
      <c r="L494" s="49"/>
      <c r="M494" s="49"/>
    </row>
    <row r="495" spans="2:13" ht="13.2">
      <c r="B495" s="67"/>
      <c r="C495" s="35"/>
      <c r="G495" s="49"/>
      <c r="H495" s="49"/>
      <c r="L495" s="49"/>
      <c r="M495" s="49"/>
    </row>
    <row r="496" spans="2:13" ht="13.2">
      <c r="B496" s="67"/>
      <c r="C496" s="35"/>
      <c r="G496" s="49"/>
      <c r="H496" s="49"/>
      <c r="L496" s="49"/>
      <c r="M496" s="49"/>
    </row>
    <row r="497" spans="2:13" ht="13.2">
      <c r="B497" s="67"/>
      <c r="C497" s="35"/>
      <c r="G497" s="49"/>
      <c r="H497" s="49"/>
      <c r="L497" s="49"/>
      <c r="M497" s="49"/>
    </row>
    <row r="498" spans="2:13" ht="13.2">
      <c r="B498" s="67"/>
      <c r="C498" s="35"/>
      <c r="G498" s="49"/>
      <c r="H498" s="49"/>
      <c r="L498" s="49"/>
      <c r="M498" s="49"/>
    </row>
    <row r="499" spans="2:13" ht="13.2">
      <c r="B499" s="67"/>
      <c r="C499" s="35"/>
      <c r="G499" s="49"/>
      <c r="H499" s="49"/>
      <c r="L499" s="49"/>
      <c r="M499" s="49"/>
    </row>
    <row r="500" spans="2:13" ht="13.2">
      <c r="B500" s="67"/>
      <c r="C500" s="35"/>
      <c r="G500" s="49"/>
      <c r="H500" s="49"/>
      <c r="L500" s="49"/>
      <c r="M500" s="49"/>
    </row>
    <row r="501" spans="2:13" ht="13.2">
      <c r="B501" s="67"/>
      <c r="C501" s="35"/>
      <c r="G501" s="49"/>
      <c r="H501" s="49"/>
      <c r="L501" s="49"/>
      <c r="M501" s="49"/>
    </row>
    <row r="502" spans="2:13" ht="13.2">
      <c r="B502" s="67"/>
      <c r="C502" s="35"/>
      <c r="G502" s="49"/>
      <c r="H502" s="49"/>
      <c r="L502" s="49"/>
      <c r="M502" s="49"/>
    </row>
    <row r="503" spans="2:13" ht="13.2">
      <c r="B503" s="67"/>
      <c r="C503" s="35"/>
      <c r="G503" s="49"/>
      <c r="H503" s="49"/>
      <c r="L503" s="49"/>
      <c r="M503" s="49"/>
    </row>
    <row r="504" spans="2:13" ht="13.2">
      <c r="B504" s="67"/>
      <c r="C504" s="35"/>
      <c r="G504" s="49"/>
      <c r="H504" s="49"/>
      <c r="L504" s="49"/>
      <c r="M504" s="49"/>
    </row>
    <row r="505" spans="2:13" ht="13.2">
      <c r="B505" s="67"/>
      <c r="C505" s="35"/>
      <c r="G505" s="49"/>
      <c r="H505" s="49"/>
      <c r="L505" s="49"/>
      <c r="M505" s="49"/>
    </row>
    <row r="506" spans="2:13" ht="13.2">
      <c r="B506" s="67"/>
      <c r="C506" s="35"/>
      <c r="G506" s="49"/>
      <c r="H506" s="49"/>
      <c r="L506" s="49"/>
      <c r="M506" s="49"/>
    </row>
    <row r="507" spans="2:13" ht="13.2">
      <c r="B507" s="67"/>
      <c r="C507" s="35"/>
      <c r="G507" s="49"/>
      <c r="H507" s="49"/>
      <c r="L507" s="49"/>
      <c r="M507" s="49"/>
    </row>
    <row r="508" spans="2:13" ht="13.2">
      <c r="B508" s="67"/>
      <c r="C508" s="35"/>
      <c r="G508" s="49"/>
      <c r="H508" s="49"/>
      <c r="L508" s="49"/>
      <c r="M508" s="49"/>
    </row>
    <row r="509" spans="2:13" ht="13.2">
      <c r="B509" s="67"/>
      <c r="C509" s="35"/>
      <c r="G509" s="49"/>
      <c r="H509" s="49"/>
      <c r="L509" s="49"/>
      <c r="M509" s="49"/>
    </row>
    <row r="510" spans="2:13" ht="13.2">
      <c r="B510" s="67"/>
      <c r="C510" s="35"/>
      <c r="G510" s="49"/>
      <c r="H510" s="49"/>
      <c r="L510" s="49"/>
      <c r="M510" s="49"/>
    </row>
    <row r="511" spans="2:13" ht="13.2">
      <c r="B511" s="67"/>
      <c r="C511" s="35"/>
      <c r="G511" s="49"/>
      <c r="H511" s="49"/>
      <c r="L511" s="49"/>
      <c r="M511" s="49"/>
    </row>
    <row r="512" spans="2:13" ht="13.2">
      <c r="B512" s="67"/>
      <c r="C512" s="35"/>
      <c r="G512" s="49"/>
      <c r="H512" s="49"/>
      <c r="L512" s="49"/>
      <c r="M512" s="49"/>
    </row>
    <row r="513" spans="2:13" ht="13.2">
      <c r="B513" s="67"/>
      <c r="C513" s="35"/>
      <c r="G513" s="49"/>
      <c r="H513" s="49"/>
      <c r="L513" s="49"/>
      <c r="M513" s="49"/>
    </row>
    <row r="514" spans="2:13" ht="13.2">
      <c r="B514" s="67"/>
      <c r="C514" s="35"/>
      <c r="G514" s="49"/>
      <c r="H514" s="49"/>
      <c r="L514" s="49"/>
      <c r="M514" s="49"/>
    </row>
    <row r="515" spans="2:13" ht="13.2">
      <c r="B515" s="67"/>
      <c r="C515" s="35"/>
      <c r="G515" s="49"/>
      <c r="H515" s="49"/>
      <c r="L515" s="49"/>
      <c r="M515" s="49"/>
    </row>
    <row r="516" spans="2:13" ht="13.2">
      <c r="B516" s="67"/>
      <c r="C516" s="35"/>
      <c r="G516" s="49"/>
      <c r="H516" s="49"/>
      <c r="L516" s="49"/>
      <c r="M516" s="49"/>
    </row>
    <row r="517" spans="2:13" ht="13.2">
      <c r="B517" s="67"/>
      <c r="C517" s="35"/>
      <c r="G517" s="49"/>
      <c r="H517" s="49"/>
      <c r="L517" s="49"/>
      <c r="M517" s="49"/>
    </row>
    <row r="518" spans="2:13" ht="13.2">
      <c r="B518" s="67"/>
      <c r="C518" s="35"/>
      <c r="G518" s="49"/>
      <c r="H518" s="49"/>
      <c r="L518" s="49"/>
      <c r="M518" s="49"/>
    </row>
    <row r="519" spans="2:13" ht="13.2">
      <c r="B519" s="67"/>
      <c r="C519" s="35"/>
      <c r="G519" s="49"/>
      <c r="H519" s="49"/>
      <c r="L519" s="49"/>
      <c r="M519" s="49"/>
    </row>
    <row r="520" spans="2:13" ht="13.2">
      <c r="B520" s="67"/>
      <c r="C520" s="35"/>
      <c r="G520" s="49"/>
      <c r="H520" s="49"/>
      <c r="L520" s="49"/>
      <c r="M520" s="49"/>
    </row>
    <row r="521" spans="2:13" ht="13.2">
      <c r="B521" s="67"/>
      <c r="C521" s="35"/>
      <c r="G521" s="49"/>
      <c r="H521" s="49"/>
      <c r="L521" s="49"/>
      <c r="M521" s="49"/>
    </row>
    <row r="522" spans="2:13" ht="13.2">
      <c r="B522" s="67"/>
      <c r="C522" s="35"/>
      <c r="G522" s="49"/>
      <c r="H522" s="49"/>
      <c r="L522" s="49"/>
      <c r="M522" s="49"/>
    </row>
    <row r="523" spans="2:13" ht="13.2">
      <c r="B523" s="67"/>
      <c r="C523" s="35"/>
      <c r="G523" s="49"/>
      <c r="H523" s="49"/>
      <c r="L523" s="49"/>
      <c r="M523" s="49"/>
    </row>
    <row r="524" spans="2:13" ht="13.2">
      <c r="B524" s="67"/>
      <c r="C524" s="35"/>
      <c r="G524" s="49"/>
      <c r="H524" s="49"/>
      <c r="L524" s="49"/>
      <c r="M524" s="49"/>
    </row>
    <row r="525" spans="2:13" ht="13.2">
      <c r="B525" s="67"/>
      <c r="C525" s="35"/>
      <c r="G525" s="49"/>
      <c r="H525" s="49"/>
      <c r="L525" s="49"/>
      <c r="M525" s="49"/>
    </row>
    <row r="526" spans="2:13" ht="13.2">
      <c r="B526" s="67"/>
      <c r="C526" s="35"/>
      <c r="G526" s="49"/>
      <c r="H526" s="49"/>
      <c r="L526" s="49"/>
      <c r="M526" s="49"/>
    </row>
    <row r="527" spans="2:13" ht="13.2">
      <c r="B527" s="67"/>
      <c r="C527" s="35"/>
      <c r="G527" s="49"/>
      <c r="H527" s="49"/>
      <c r="L527" s="49"/>
      <c r="M527" s="49"/>
    </row>
    <row r="528" spans="2:13" ht="13.2">
      <c r="B528" s="67"/>
      <c r="C528" s="35"/>
      <c r="G528" s="49"/>
      <c r="H528" s="49"/>
      <c r="L528" s="49"/>
      <c r="M528" s="49"/>
    </row>
    <row r="529" spans="2:13" ht="13.2">
      <c r="B529" s="67"/>
      <c r="C529" s="35"/>
      <c r="G529" s="49"/>
      <c r="H529" s="49"/>
      <c r="L529" s="49"/>
      <c r="M529" s="49"/>
    </row>
    <row r="530" spans="2:13" ht="13.2">
      <c r="B530" s="67"/>
      <c r="C530" s="35"/>
      <c r="G530" s="49"/>
      <c r="H530" s="49"/>
      <c r="L530" s="49"/>
      <c r="M530" s="49"/>
    </row>
    <row r="531" spans="2:13" ht="13.2">
      <c r="B531" s="67"/>
      <c r="C531" s="35"/>
      <c r="G531" s="49"/>
      <c r="H531" s="49"/>
      <c r="L531" s="49"/>
      <c r="M531" s="49"/>
    </row>
    <row r="532" spans="2:13" ht="13.2">
      <c r="B532" s="67"/>
      <c r="C532" s="35"/>
      <c r="G532" s="49"/>
      <c r="H532" s="49"/>
      <c r="L532" s="49"/>
      <c r="M532" s="49"/>
    </row>
    <row r="533" spans="2:13" ht="13.2">
      <c r="B533" s="67"/>
      <c r="C533" s="35"/>
      <c r="G533" s="49"/>
      <c r="H533" s="49"/>
      <c r="L533" s="49"/>
      <c r="M533" s="49"/>
    </row>
    <row r="534" spans="2:13" ht="13.2">
      <c r="B534" s="67"/>
      <c r="C534" s="35"/>
      <c r="G534" s="49"/>
      <c r="H534" s="49"/>
      <c r="L534" s="49"/>
      <c r="M534" s="49"/>
    </row>
    <row r="535" spans="2:13" ht="13.2">
      <c r="B535" s="67"/>
      <c r="C535" s="35"/>
      <c r="G535" s="49"/>
      <c r="H535" s="49"/>
      <c r="L535" s="49"/>
      <c r="M535" s="49"/>
    </row>
    <row r="536" spans="2:13" ht="13.2">
      <c r="B536" s="67"/>
      <c r="C536" s="35"/>
      <c r="G536" s="49"/>
      <c r="H536" s="49"/>
      <c r="L536" s="49"/>
      <c r="M536" s="49"/>
    </row>
    <row r="537" spans="2:13" ht="13.2">
      <c r="B537" s="67"/>
      <c r="C537" s="35"/>
      <c r="G537" s="49"/>
      <c r="H537" s="49"/>
      <c r="L537" s="49"/>
      <c r="M537" s="49"/>
    </row>
    <row r="538" spans="2:13" ht="13.2">
      <c r="B538" s="67"/>
      <c r="C538" s="35"/>
      <c r="G538" s="49"/>
      <c r="H538" s="49"/>
      <c r="L538" s="49"/>
      <c r="M538" s="49"/>
    </row>
    <row r="539" spans="2:13" ht="13.2">
      <c r="B539" s="67"/>
      <c r="C539" s="35"/>
      <c r="G539" s="49"/>
      <c r="H539" s="49"/>
      <c r="L539" s="49"/>
      <c r="M539" s="49"/>
    </row>
    <row r="540" spans="2:13" ht="13.2">
      <c r="B540" s="67"/>
      <c r="C540" s="35"/>
      <c r="G540" s="49"/>
      <c r="H540" s="49"/>
      <c r="L540" s="49"/>
      <c r="M540" s="49"/>
    </row>
    <row r="541" spans="2:13" ht="13.2">
      <c r="B541" s="67"/>
      <c r="C541" s="35"/>
      <c r="G541" s="49"/>
      <c r="H541" s="49"/>
      <c r="L541" s="49"/>
      <c r="M541" s="49"/>
    </row>
    <row r="542" spans="2:13" ht="13.2">
      <c r="B542" s="67"/>
      <c r="C542" s="35"/>
      <c r="G542" s="49"/>
      <c r="H542" s="49"/>
      <c r="L542" s="49"/>
      <c r="M542" s="49"/>
    </row>
    <row r="543" spans="2:13" ht="13.2">
      <c r="B543" s="67"/>
      <c r="C543" s="35"/>
      <c r="G543" s="49"/>
      <c r="H543" s="49"/>
      <c r="L543" s="49"/>
      <c r="M543" s="49"/>
    </row>
    <row r="544" spans="2:13" ht="13.2">
      <c r="B544" s="67"/>
      <c r="C544" s="35"/>
      <c r="G544" s="49"/>
      <c r="H544" s="49"/>
      <c r="L544" s="49"/>
      <c r="M544" s="49"/>
    </row>
    <row r="545" spans="2:13" ht="13.2">
      <c r="B545" s="67"/>
      <c r="C545" s="35"/>
      <c r="G545" s="49"/>
      <c r="H545" s="49"/>
      <c r="L545" s="49"/>
      <c r="M545" s="49"/>
    </row>
    <row r="546" spans="2:13" ht="13.2">
      <c r="B546" s="67"/>
      <c r="C546" s="35"/>
      <c r="G546" s="49"/>
      <c r="H546" s="49"/>
      <c r="L546" s="49"/>
      <c r="M546" s="49"/>
    </row>
    <row r="547" spans="2:13" ht="13.2">
      <c r="B547" s="67"/>
      <c r="C547" s="35"/>
      <c r="G547" s="49"/>
      <c r="H547" s="49"/>
      <c r="L547" s="49"/>
      <c r="M547" s="49"/>
    </row>
    <row r="548" spans="2:13" ht="13.2">
      <c r="B548" s="67"/>
      <c r="C548" s="35"/>
      <c r="G548" s="49"/>
      <c r="H548" s="49"/>
      <c r="L548" s="49"/>
      <c r="M548" s="49"/>
    </row>
    <row r="549" spans="2:13" ht="13.2">
      <c r="B549" s="67"/>
      <c r="C549" s="35"/>
      <c r="G549" s="49"/>
      <c r="H549" s="49"/>
      <c r="L549" s="49"/>
      <c r="M549" s="49"/>
    </row>
    <row r="550" spans="2:13" ht="13.2">
      <c r="B550" s="67"/>
      <c r="C550" s="35"/>
      <c r="G550" s="49"/>
      <c r="H550" s="49"/>
      <c r="L550" s="49"/>
      <c r="M550" s="49"/>
    </row>
    <row r="551" spans="2:13" ht="13.2">
      <c r="B551" s="67"/>
      <c r="C551" s="35"/>
      <c r="G551" s="49"/>
      <c r="H551" s="49"/>
      <c r="L551" s="49"/>
      <c r="M551" s="49"/>
    </row>
    <row r="552" spans="2:13" ht="13.2">
      <c r="B552" s="67"/>
      <c r="C552" s="35"/>
      <c r="G552" s="49"/>
      <c r="H552" s="49"/>
      <c r="L552" s="49"/>
      <c r="M552" s="49"/>
    </row>
    <row r="553" spans="2:13" ht="13.2">
      <c r="B553" s="67"/>
      <c r="C553" s="35"/>
      <c r="G553" s="49"/>
      <c r="H553" s="49"/>
      <c r="L553" s="49"/>
      <c r="M553" s="49"/>
    </row>
    <row r="554" spans="2:13" ht="13.2">
      <c r="B554" s="67"/>
      <c r="C554" s="35"/>
      <c r="G554" s="49"/>
      <c r="H554" s="49"/>
      <c r="L554" s="49"/>
      <c r="M554" s="49"/>
    </row>
    <row r="555" spans="2:13" ht="13.2">
      <c r="B555" s="67"/>
      <c r="C555" s="35"/>
      <c r="G555" s="49"/>
      <c r="H555" s="49"/>
      <c r="L555" s="49"/>
      <c r="M555" s="49"/>
    </row>
    <row r="556" spans="2:13" ht="13.2">
      <c r="B556" s="67"/>
      <c r="C556" s="35"/>
      <c r="G556" s="49"/>
      <c r="H556" s="49"/>
      <c r="L556" s="49"/>
      <c r="M556" s="49"/>
    </row>
    <row r="557" spans="2:13" ht="13.2">
      <c r="B557" s="67"/>
      <c r="C557" s="35"/>
      <c r="G557" s="49"/>
      <c r="H557" s="49"/>
      <c r="L557" s="49"/>
      <c r="M557" s="49"/>
    </row>
    <row r="558" spans="2:13" ht="13.2">
      <c r="B558" s="67"/>
      <c r="C558" s="35"/>
      <c r="G558" s="49"/>
      <c r="H558" s="49"/>
      <c r="L558" s="49"/>
      <c r="M558" s="49"/>
    </row>
    <row r="559" spans="2:13" ht="13.2">
      <c r="B559" s="67"/>
      <c r="C559" s="35"/>
      <c r="G559" s="49"/>
      <c r="H559" s="49"/>
      <c r="L559" s="49"/>
      <c r="M559" s="49"/>
    </row>
    <row r="560" spans="2:13" ht="13.2">
      <c r="B560" s="67"/>
      <c r="C560" s="35"/>
      <c r="G560" s="49"/>
      <c r="H560" s="49"/>
      <c r="L560" s="49"/>
      <c r="M560" s="49"/>
    </row>
    <row r="561" spans="2:13" ht="13.2">
      <c r="B561" s="67"/>
      <c r="C561" s="35"/>
      <c r="G561" s="49"/>
      <c r="H561" s="49"/>
      <c r="L561" s="49"/>
      <c r="M561" s="49"/>
    </row>
    <row r="562" spans="2:13" ht="13.2">
      <c r="B562" s="67"/>
      <c r="C562" s="35"/>
      <c r="G562" s="49"/>
      <c r="H562" s="49"/>
      <c r="L562" s="49"/>
      <c r="M562" s="49"/>
    </row>
    <row r="563" spans="2:13" ht="13.2">
      <c r="B563" s="67"/>
      <c r="C563" s="35"/>
      <c r="G563" s="49"/>
      <c r="H563" s="49"/>
      <c r="L563" s="49"/>
      <c r="M563" s="49"/>
    </row>
    <row r="564" spans="2:13" ht="13.2">
      <c r="B564" s="67"/>
      <c r="C564" s="35"/>
      <c r="G564" s="49"/>
      <c r="H564" s="49"/>
      <c r="L564" s="49"/>
      <c r="M564" s="49"/>
    </row>
    <row r="565" spans="2:13" ht="13.2">
      <c r="B565" s="67"/>
      <c r="C565" s="35"/>
      <c r="G565" s="49"/>
      <c r="H565" s="49"/>
      <c r="L565" s="49"/>
      <c r="M565" s="49"/>
    </row>
    <row r="566" spans="2:13" ht="13.2">
      <c r="B566" s="67"/>
      <c r="C566" s="35"/>
      <c r="G566" s="49"/>
      <c r="H566" s="49"/>
      <c r="L566" s="49"/>
      <c r="M566" s="49"/>
    </row>
    <row r="567" spans="2:13" ht="13.2">
      <c r="B567" s="67"/>
      <c r="C567" s="35"/>
      <c r="G567" s="49"/>
      <c r="H567" s="49"/>
      <c r="L567" s="49"/>
      <c r="M567" s="49"/>
    </row>
    <row r="568" spans="2:13" ht="13.2">
      <c r="B568" s="67"/>
      <c r="C568" s="35"/>
      <c r="G568" s="49"/>
      <c r="H568" s="49"/>
      <c r="L568" s="49"/>
      <c r="M568" s="49"/>
    </row>
    <row r="569" spans="2:13" ht="13.2">
      <c r="B569" s="67"/>
      <c r="C569" s="35"/>
      <c r="G569" s="49"/>
      <c r="H569" s="49"/>
      <c r="L569" s="49"/>
      <c r="M569" s="49"/>
    </row>
    <row r="570" spans="2:13" ht="13.2">
      <c r="B570" s="67"/>
      <c r="C570" s="35"/>
      <c r="G570" s="49"/>
      <c r="H570" s="49"/>
      <c r="L570" s="49"/>
      <c r="M570" s="49"/>
    </row>
    <row r="571" spans="2:13" ht="13.2">
      <c r="B571" s="67"/>
      <c r="C571" s="35"/>
      <c r="G571" s="49"/>
      <c r="H571" s="49"/>
      <c r="L571" s="49"/>
      <c r="M571" s="49"/>
    </row>
    <row r="572" spans="2:13" ht="13.2">
      <c r="B572" s="67"/>
      <c r="C572" s="35"/>
      <c r="G572" s="49"/>
      <c r="H572" s="49"/>
      <c r="L572" s="49"/>
      <c r="M572" s="49"/>
    </row>
    <row r="573" spans="2:13" ht="13.2">
      <c r="B573" s="67"/>
      <c r="C573" s="35"/>
      <c r="G573" s="49"/>
      <c r="H573" s="49"/>
      <c r="L573" s="49"/>
      <c r="M573" s="49"/>
    </row>
    <row r="574" spans="2:13" ht="13.2">
      <c r="B574" s="67"/>
      <c r="C574" s="35"/>
      <c r="G574" s="49"/>
      <c r="H574" s="49"/>
      <c r="L574" s="49"/>
      <c r="M574" s="49"/>
    </row>
    <row r="575" spans="2:13" ht="13.2">
      <c r="B575" s="67"/>
      <c r="C575" s="35"/>
      <c r="G575" s="49"/>
      <c r="H575" s="49"/>
      <c r="L575" s="49"/>
      <c r="M575" s="49"/>
    </row>
    <row r="576" spans="2:13" ht="13.2">
      <c r="B576" s="67"/>
      <c r="C576" s="35"/>
      <c r="G576" s="49"/>
      <c r="H576" s="49"/>
      <c r="L576" s="49"/>
      <c r="M576" s="49"/>
    </row>
    <row r="577" spans="2:13" ht="13.2">
      <c r="B577" s="67"/>
      <c r="C577" s="35"/>
      <c r="G577" s="49"/>
      <c r="H577" s="49"/>
      <c r="L577" s="49"/>
      <c r="M577" s="49"/>
    </row>
    <row r="578" spans="2:13" ht="13.2">
      <c r="B578" s="67"/>
      <c r="C578" s="35"/>
      <c r="G578" s="49"/>
      <c r="H578" s="49"/>
      <c r="L578" s="49"/>
      <c r="M578" s="49"/>
    </row>
    <row r="579" spans="2:13" ht="13.2">
      <c r="B579" s="67"/>
      <c r="C579" s="35"/>
      <c r="G579" s="49"/>
      <c r="H579" s="49"/>
      <c r="L579" s="49"/>
      <c r="M579" s="49"/>
    </row>
    <row r="580" spans="2:13" ht="13.2">
      <c r="B580" s="67"/>
      <c r="C580" s="35"/>
      <c r="G580" s="49"/>
      <c r="H580" s="49"/>
      <c r="L580" s="49"/>
      <c r="M580" s="49"/>
    </row>
    <row r="581" spans="2:13" ht="13.2">
      <c r="B581" s="67"/>
      <c r="C581" s="35"/>
      <c r="G581" s="49"/>
      <c r="H581" s="49"/>
      <c r="L581" s="49"/>
      <c r="M581" s="49"/>
    </row>
    <row r="582" spans="2:13" ht="13.2">
      <c r="B582" s="67"/>
      <c r="C582" s="35"/>
      <c r="G582" s="49"/>
      <c r="H582" s="49"/>
      <c r="L582" s="49"/>
      <c r="M582" s="49"/>
    </row>
    <row r="583" spans="2:13" ht="13.2">
      <c r="B583" s="67"/>
      <c r="C583" s="35"/>
      <c r="G583" s="49"/>
      <c r="H583" s="49"/>
      <c r="L583" s="49"/>
      <c r="M583" s="49"/>
    </row>
    <row r="584" spans="2:13" ht="13.2">
      <c r="B584" s="67"/>
      <c r="C584" s="35"/>
      <c r="G584" s="49"/>
      <c r="H584" s="49"/>
      <c r="L584" s="49"/>
      <c r="M584" s="49"/>
    </row>
    <row r="585" spans="2:13" ht="13.2">
      <c r="B585" s="67"/>
      <c r="C585" s="35"/>
      <c r="G585" s="49"/>
      <c r="H585" s="49"/>
      <c r="L585" s="49"/>
      <c r="M585" s="49"/>
    </row>
    <row r="586" spans="2:13" ht="13.2">
      <c r="B586" s="67"/>
      <c r="C586" s="35"/>
      <c r="G586" s="49"/>
      <c r="H586" s="49"/>
      <c r="L586" s="49"/>
      <c r="M586" s="49"/>
    </row>
    <row r="587" spans="2:13" ht="13.2">
      <c r="B587" s="67"/>
      <c r="C587" s="35"/>
      <c r="G587" s="49"/>
      <c r="H587" s="49"/>
      <c r="L587" s="49"/>
      <c r="M587" s="49"/>
    </row>
    <row r="588" spans="2:13" ht="13.2">
      <c r="B588" s="67"/>
      <c r="C588" s="35"/>
      <c r="G588" s="49"/>
      <c r="H588" s="49"/>
      <c r="L588" s="49"/>
      <c r="M588" s="49"/>
    </row>
    <row r="589" spans="2:13" ht="13.2">
      <c r="B589" s="67"/>
      <c r="C589" s="35"/>
      <c r="G589" s="49"/>
      <c r="H589" s="49"/>
      <c r="L589" s="49"/>
      <c r="M589" s="49"/>
    </row>
    <row r="590" spans="2:13" ht="13.2">
      <c r="B590" s="67"/>
      <c r="C590" s="35"/>
      <c r="G590" s="49"/>
      <c r="H590" s="49"/>
      <c r="L590" s="49"/>
      <c r="M590" s="49"/>
    </row>
    <row r="591" spans="2:13" ht="13.2">
      <c r="B591" s="67"/>
      <c r="C591" s="35"/>
      <c r="G591" s="49"/>
      <c r="H591" s="49"/>
      <c r="L591" s="49"/>
      <c r="M591" s="49"/>
    </row>
    <row r="592" spans="2:13" ht="13.2">
      <c r="B592" s="67"/>
      <c r="C592" s="35"/>
      <c r="G592" s="49"/>
      <c r="H592" s="49"/>
      <c r="L592" s="49"/>
      <c r="M592" s="49"/>
    </row>
    <row r="593" spans="2:13" ht="13.2">
      <c r="B593" s="67"/>
      <c r="C593" s="35"/>
      <c r="G593" s="49"/>
      <c r="H593" s="49"/>
      <c r="L593" s="49"/>
      <c r="M593" s="49"/>
    </row>
    <row r="594" spans="2:13" ht="13.2">
      <c r="B594" s="67"/>
      <c r="C594" s="35"/>
      <c r="G594" s="49"/>
      <c r="H594" s="49"/>
      <c r="L594" s="49"/>
      <c r="M594" s="49"/>
    </row>
    <row r="595" spans="2:13" ht="13.2">
      <c r="B595" s="67"/>
      <c r="C595" s="35"/>
      <c r="G595" s="49"/>
      <c r="H595" s="49"/>
      <c r="L595" s="49"/>
      <c r="M595" s="49"/>
    </row>
    <row r="596" spans="2:13" ht="13.2">
      <c r="B596" s="67"/>
      <c r="C596" s="35"/>
      <c r="G596" s="49"/>
      <c r="H596" s="49"/>
      <c r="L596" s="49"/>
      <c r="M596" s="49"/>
    </row>
    <row r="597" spans="2:13" ht="13.2">
      <c r="B597" s="67"/>
      <c r="C597" s="35"/>
      <c r="G597" s="49"/>
      <c r="H597" s="49"/>
      <c r="L597" s="49"/>
      <c r="M597" s="49"/>
    </row>
    <row r="598" spans="2:13" ht="13.2">
      <c r="B598" s="67"/>
      <c r="C598" s="35"/>
      <c r="G598" s="49"/>
      <c r="H598" s="49"/>
      <c r="L598" s="49"/>
      <c r="M598" s="49"/>
    </row>
    <row r="599" spans="2:13" ht="13.2">
      <c r="B599" s="67"/>
      <c r="C599" s="35"/>
      <c r="G599" s="49"/>
      <c r="H599" s="49"/>
      <c r="L599" s="49"/>
      <c r="M599" s="49"/>
    </row>
    <row r="600" spans="2:13" ht="13.2">
      <c r="B600" s="67"/>
      <c r="C600" s="35"/>
      <c r="G600" s="49"/>
      <c r="H600" s="49"/>
      <c r="L600" s="49"/>
      <c r="M600" s="49"/>
    </row>
    <row r="601" spans="2:13" ht="13.2">
      <c r="B601" s="67"/>
      <c r="C601" s="35"/>
      <c r="G601" s="49"/>
      <c r="H601" s="49"/>
      <c r="L601" s="49"/>
      <c r="M601" s="49"/>
    </row>
    <row r="602" spans="2:13" ht="13.2">
      <c r="B602" s="67"/>
      <c r="C602" s="35"/>
      <c r="G602" s="49"/>
      <c r="H602" s="49"/>
      <c r="L602" s="49"/>
      <c r="M602" s="49"/>
    </row>
    <row r="603" spans="2:13" ht="13.2">
      <c r="B603" s="67"/>
      <c r="C603" s="35"/>
      <c r="G603" s="49"/>
      <c r="H603" s="49"/>
      <c r="L603" s="49"/>
      <c r="M603" s="49"/>
    </row>
    <row r="604" spans="2:13" ht="13.2">
      <c r="B604" s="67"/>
      <c r="C604" s="35"/>
      <c r="G604" s="49"/>
      <c r="H604" s="49"/>
      <c r="L604" s="49"/>
      <c r="M604" s="49"/>
    </row>
    <row r="605" spans="2:13" ht="13.2">
      <c r="B605" s="67"/>
      <c r="C605" s="35"/>
      <c r="G605" s="49"/>
      <c r="H605" s="49"/>
      <c r="L605" s="49"/>
      <c r="M605" s="49"/>
    </row>
    <row r="606" spans="2:13" ht="13.2">
      <c r="B606" s="67"/>
      <c r="C606" s="35"/>
      <c r="G606" s="49"/>
      <c r="H606" s="49"/>
      <c r="L606" s="49"/>
      <c r="M606" s="49"/>
    </row>
    <row r="607" spans="2:13" ht="13.2">
      <c r="B607" s="67"/>
      <c r="C607" s="35"/>
      <c r="G607" s="49"/>
      <c r="H607" s="49"/>
      <c r="L607" s="49"/>
      <c r="M607" s="49"/>
    </row>
    <row r="608" spans="2:13" ht="13.2">
      <c r="B608" s="67"/>
      <c r="C608" s="35"/>
      <c r="G608" s="49"/>
      <c r="H608" s="49"/>
      <c r="L608" s="49"/>
      <c r="M608" s="49"/>
    </row>
    <row r="609" spans="2:13" ht="13.2">
      <c r="B609" s="67"/>
      <c r="C609" s="35"/>
      <c r="G609" s="49"/>
      <c r="H609" s="49"/>
      <c r="L609" s="49"/>
      <c r="M609" s="49"/>
    </row>
    <row r="610" spans="2:13" ht="13.2">
      <c r="B610" s="67"/>
      <c r="C610" s="35"/>
      <c r="G610" s="49"/>
      <c r="H610" s="49"/>
      <c r="L610" s="49"/>
      <c r="M610" s="49"/>
    </row>
    <row r="611" spans="2:13" ht="13.2">
      <c r="B611" s="67"/>
      <c r="C611" s="35"/>
      <c r="G611" s="49"/>
      <c r="H611" s="49"/>
      <c r="L611" s="49"/>
      <c r="M611" s="49"/>
    </row>
    <row r="612" spans="2:13" ht="13.2">
      <c r="B612" s="67"/>
      <c r="C612" s="35"/>
      <c r="G612" s="49"/>
      <c r="H612" s="49"/>
      <c r="L612" s="49"/>
      <c r="M612" s="49"/>
    </row>
    <row r="613" spans="2:13" ht="13.2">
      <c r="B613" s="67"/>
      <c r="C613" s="35"/>
      <c r="G613" s="49"/>
      <c r="H613" s="49"/>
      <c r="L613" s="49"/>
      <c r="M613" s="49"/>
    </row>
    <row r="614" spans="2:13" ht="13.2">
      <c r="B614" s="67"/>
      <c r="C614" s="35"/>
      <c r="G614" s="49"/>
      <c r="H614" s="49"/>
      <c r="L614" s="49"/>
      <c r="M614" s="49"/>
    </row>
    <row r="615" spans="2:13" ht="13.2">
      <c r="B615" s="67"/>
      <c r="C615" s="35"/>
      <c r="G615" s="49"/>
      <c r="H615" s="49"/>
      <c r="L615" s="49"/>
      <c r="M615" s="49"/>
    </row>
    <row r="616" spans="2:13" ht="13.2">
      <c r="B616" s="67"/>
      <c r="C616" s="35"/>
      <c r="G616" s="49"/>
      <c r="H616" s="49"/>
      <c r="L616" s="49"/>
      <c r="M616" s="49"/>
    </row>
    <row r="617" spans="2:13" ht="13.2">
      <c r="B617" s="67"/>
      <c r="C617" s="35"/>
      <c r="G617" s="49"/>
      <c r="H617" s="49"/>
      <c r="L617" s="49"/>
      <c r="M617" s="49"/>
    </row>
    <row r="618" spans="2:13" ht="13.2">
      <c r="B618" s="67"/>
      <c r="C618" s="35"/>
      <c r="G618" s="49"/>
      <c r="H618" s="49"/>
      <c r="L618" s="49"/>
      <c r="M618" s="49"/>
    </row>
    <row r="619" spans="2:13" ht="13.2">
      <c r="B619" s="67"/>
      <c r="C619" s="35"/>
      <c r="G619" s="49"/>
      <c r="H619" s="49"/>
      <c r="L619" s="49"/>
      <c r="M619" s="49"/>
    </row>
    <row r="620" spans="2:13" ht="13.2">
      <c r="B620" s="67"/>
      <c r="C620" s="35"/>
      <c r="G620" s="49"/>
      <c r="H620" s="49"/>
      <c r="L620" s="49"/>
      <c r="M620" s="49"/>
    </row>
    <row r="621" spans="2:13" ht="13.2">
      <c r="B621" s="67"/>
      <c r="C621" s="35"/>
      <c r="G621" s="49"/>
      <c r="H621" s="49"/>
      <c r="L621" s="49"/>
      <c r="M621" s="49"/>
    </row>
    <row r="622" spans="2:13" ht="13.2">
      <c r="B622" s="67"/>
      <c r="C622" s="35"/>
      <c r="G622" s="49"/>
      <c r="H622" s="49"/>
      <c r="L622" s="49"/>
      <c r="M622" s="49"/>
    </row>
    <row r="623" spans="2:13" ht="13.2">
      <c r="B623" s="67"/>
      <c r="C623" s="35"/>
      <c r="G623" s="49"/>
      <c r="H623" s="49"/>
      <c r="L623" s="49"/>
      <c r="M623" s="49"/>
    </row>
    <row r="624" spans="2:13" ht="13.2">
      <c r="B624" s="67"/>
      <c r="C624" s="35"/>
      <c r="G624" s="49"/>
      <c r="H624" s="49"/>
      <c r="L624" s="49"/>
      <c r="M624" s="49"/>
    </row>
    <row r="625" spans="2:13" ht="13.2">
      <c r="B625" s="67"/>
      <c r="C625" s="35"/>
      <c r="G625" s="49"/>
      <c r="H625" s="49"/>
      <c r="L625" s="49"/>
      <c r="M625" s="49"/>
    </row>
    <row r="626" spans="2:13" ht="13.2">
      <c r="B626" s="67"/>
      <c r="C626" s="35"/>
      <c r="G626" s="49"/>
      <c r="H626" s="49"/>
      <c r="L626" s="49"/>
      <c r="M626" s="49"/>
    </row>
    <row r="627" spans="2:13" ht="13.2">
      <c r="B627" s="67"/>
      <c r="C627" s="35"/>
      <c r="G627" s="49"/>
      <c r="H627" s="49"/>
      <c r="L627" s="49"/>
      <c r="M627" s="49"/>
    </row>
    <row r="628" spans="2:13" ht="13.2">
      <c r="B628" s="67"/>
      <c r="C628" s="35"/>
      <c r="G628" s="49"/>
      <c r="H628" s="49"/>
      <c r="L628" s="49"/>
      <c r="M628" s="49"/>
    </row>
    <row r="629" spans="2:13" ht="13.2">
      <c r="B629" s="67"/>
      <c r="C629" s="35"/>
      <c r="G629" s="49"/>
      <c r="H629" s="49"/>
      <c r="L629" s="49"/>
      <c r="M629" s="49"/>
    </row>
    <row r="630" spans="2:13" ht="13.2">
      <c r="B630" s="67"/>
      <c r="C630" s="35"/>
      <c r="G630" s="49"/>
      <c r="H630" s="49"/>
      <c r="L630" s="49"/>
      <c r="M630" s="49"/>
    </row>
    <row r="631" spans="2:13" ht="13.2">
      <c r="B631" s="67"/>
      <c r="C631" s="35"/>
      <c r="G631" s="49"/>
      <c r="H631" s="49"/>
      <c r="L631" s="49"/>
      <c r="M631" s="49"/>
    </row>
    <row r="632" spans="2:13" ht="13.2">
      <c r="B632" s="67"/>
      <c r="C632" s="35"/>
      <c r="G632" s="49"/>
      <c r="H632" s="49"/>
      <c r="L632" s="49"/>
      <c r="M632" s="49"/>
    </row>
    <row r="633" spans="2:13" ht="13.2">
      <c r="B633" s="67"/>
      <c r="C633" s="35"/>
      <c r="G633" s="49"/>
      <c r="H633" s="49"/>
      <c r="L633" s="49"/>
      <c r="M633" s="49"/>
    </row>
    <row r="634" spans="2:13" ht="13.2">
      <c r="B634" s="67"/>
      <c r="C634" s="35"/>
      <c r="G634" s="49"/>
      <c r="H634" s="49"/>
      <c r="L634" s="49"/>
      <c r="M634" s="49"/>
    </row>
    <row r="635" spans="2:13" ht="13.2">
      <c r="B635" s="67"/>
      <c r="C635" s="35"/>
      <c r="G635" s="49"/>
      <c r="H635" s="49"/>
      <c r="L635" s="49"/>
      <c r="M635" s="49"/>
    </row>
    <row r="636" spans="2:13" ht="13.2">
      <c r="B636" s="67"/>
      <c r="C636" s="35"/>
      <c r="G636" s="49"/>
      <c r="H636" s="49"/>
      <c r="L636" s="49"/>
      <c r="M636" s="49"/>
    </row>
    <row r="637" spans="2:13" ht="13.2">
      <c r="B637" s="67"/>
      <c r="C637" s="35"/>
      <c r="G637" s="49"/>
      <c r="H637" s="49"/>
      <c r="L637" s="49"/>
      <c r="M637" s="49"/>
    </row>
    <row r="638" spans="2:13" ht="13.2">
      <c r="B638" s="67"/>
      <c r="C638" s="35"/>
      <c r="G638" s="49"/>
      <c r="H638" s="49"/>
      <c r="L638" s="49"/>
      <c r="M638" s="49"/>
    </row>
    <row r="639" spans="2:13" ht="13.2">
      <c r="B639" s="67"/>
      <c r="C639" s="35"/>
      <c r="G639" s="49"/>
      <c r="H639" s="49"/>
      <c r="L639" s="49"/>
      <c r="M639" s="49"/>
    </row>
    <row r="640" spans="2:13" ht="13.2">
      <c r="B640" s="67"/>
      <c r="C640" s="35"/>
      <c r="G640" s="49"/>
      <c r="H640" s="49"/>
      <c r="L640" s="49"/>
      <c r="M640" s="49"/>
    </row>
    <row r="641" spans="2:13" ht="13.2">
      <c r="B641" s="67"/>
      <c r="C641" s="35"/>
      <c r="G641" s="49"/>
      <c r="H641" s="49"/>
      <c r="L641" s="49"/>
      <c r="M641" s="49"/>
    </row>
    <row r="642" spans="2:13" ht="13.2">
      <c r="B642" s="67"/>
      <c r="C642" s="35"/>
      <c r="G642" s="49"/>
      <c r="H642" s="49"/>
      <c r="L642" s="49"/>
      <c r="M642" s="49"/>
    </row>
    <row r="643" spans="2:13" ht="13.2">
      <c r="B643" s="67"/>
      <c r="C643" s="35"/>
      <c r="G643" s="49"/>
      <c r="H643" s="49"/>
      <c r="L643" s="49"/>
      <c r="M643" s="49"/>
    </row>
    <row r="644" spans="2:13" ht="13.2">
      <c r="B644" s="67"/>
      <c r="C644" s="35"/>
      <c r="G644" s="49"/>
      <c r="H644" s="49"/>
      <c r="L644" s="49"/>
      <c r="M644" s="49"/>
    </row>
    <row r="645" spans="2:13" ht="13.2">
      <c r="B645" s="67"/>
      <c r="C645" s="35"/>
      <c r="G645" s="49"/>
      <c r="H645" s="49"/>
      <c r="L645" s="49"/>
      <c r="M645" s="49"/>
    </row>
    <row r="646" spans="2:13" ht="13.2">
      <c r="B646" s="67"/>
      <c r="C646" s="35"/>
      <c r="G646" s="49"/>
      <c r="H646" s="49"/>
      <c r="L646" s="49"/>
      <c r="M646" s="49"/>
    </row>
    <row r="647" spans="2:13" ht="13.2">
      <c r="B647" s="67"/>
      <c r="C647" s="35"/>
      <c r="G647" s="49"/>
      <c r="H647" s="49"/>
      <c r="L647" s="49"/>
      <c r="M647" s="49"/>
    </row>
    <row r="648" spans="2:13" ht="13.2">
      <c r="B648" s="67"/>
      <c r="C648" s="35"/>
      <c r="G648" s="49"/>
      <c r="H648" s="49"/>
      <c r="L648" s="49"/>
      <c r="M648" s="49"/>
    </row>
    <row r="649" spans="2:13" ht="13.2">
      <c r="B649" s="67"/>
      <c r="C649" s="35"/>
      <c r="G649" s="49"/>
      <c r="H649" s="49"/>
      <c r="L649" s="49"/>
      <c r="M649" s="49"/>
    </row>
    <row r="650" spans="2:13" ht="13.2">
      <c r="B650" s="67"/>
      <c r="C650" s="35"/>
      <c r="G650" s="49"/>
      <c r="H650" s="49"/>
      <c r="L650" s="49"/>
      <c r="M650" s="49"/>
    </row>
    <row r="651" spans="2:13" ht="13.2">
      <c r="B651" s="67"/>
      <c r="C651" s="35"/>
      <c r="G651" s="49"/>
      <c r="H651" s="49"/>
      <c r="L651" s="49"/>
      <c r="M651" s="49"/>
    </row>
    <row r="652" spans="2:13" ht="13.2">
      <c r="B652" s="67"/>
      <c r="C652" s="35"/>
      <c r="G652" s="49"/>
      <c r="H652" s="49"/>
      <c r="L652" s="49"/>
      <c r="M652" s="49"/>
    </row>
    <row r="653" spans="2:13" ht="13.2">
      <c r="B653" s="67"/>
      <c r="C653" s="35"/>
      <c r="G653" s="49"/>
      <c r="H653" s="49"/>
      <c r="L653" s="49"/>
      <c r="M653" s="49"/>
    </row>
    <row r="654" spans="2:13" ht="13.2">
      <c r="B654" s="67"/>
      <c r="C654" s="35"/>
      <c r="G654" s="49"/>
      <c r="H654" s="49"/>
      <c r="L654" s="49"/>
      <c r="M654" s="49"/>
    </row>
    <row r="655" spans="2:13" ht="13.2">
      <c r="B655" s="67"/>
      <c r="C655" s="35"/>
      <c r="G655" s="49"/>
      <c r="H655" s="49"/>
      <c r="L655" s="49"/>
      <c r="M655" s="49"/>
    </row>
    <row r="656" spans="2:13" ht="13.2">
      <c r="B656" s="67"/>
      <c r="C656" s="35"/>
      <c r="G656" s="49"/>
      <c r="H656" s="49"/>
      <c r="L656" s="49"/>
      <c r="M656" s="49"/>
    </row>
    <row r="657" spans="2:13" ht="13.2">
      <c r="B657" s="67"/>
      <c r="C657" s="35"/>
      <c r="G657" s="49"/>
      <c r="H657" s="49"/>
      <c r="L657" s="49"/>
      <c r="M657" s="49"/>
    </row>
    <row r="658" spans="2:13" ht="13.2">
      <c r="B658" s="67"/>
      <c r="C658" s="35"/>
      <c r="G658" s="49"/>
      <c r="H658" s="49"/>
      <c r="L658" s="49"/>
      <c r="M658" s="49"/>
    </row>
    <row r="659" spans="2:13" ht="13.2">
      <c r="B659" s="67"/>
      <c r="C659" s="35"/>
      <c r="G659" s="49"/>
      <c r="H659" s="49"/>
      <c r="L659" s="49"/>
      <c r="M659" s="49"/>
    </row>
    <row r="660" spans="2:13" ht="13.2">
      <c r="B660" s="67"/>
      <c r="C660" s="35"/>
      <c r="G660" s="49"/>
      <c r="H660" s="49"/>
      <c r="L660" s="49"/>
      <c r="M660" s="49"/>
    </row>
    <row r="661" spans="2:13" ht="13.2">
      <c r="B661" s="67"/>
      <c r="C661" s="35"/>
      <c r="G661" s="49"/>
      <c r="H661" s="49"/>
      <c r="L661" s="49"/>
      <c r="M661" s="49"/>
    </row>
    <row r="662" spans="2:13" ht="13.2">
      <c r="B662" s="67"/>
      <c r="C662" s="35"/>
      <c r="G662" s="49"/>
      <c r="H662" s="49"/>
      <c r="L662" s="49"/>
      <c r="M662" s="49"/>
    </row>
    <row r="663" spans="2:13" ht="13.2">
      <c r="B663" s="67"/>
      <c r="C663" s="35"/>
      <c r="G663" s="49"/>
      <c r="H663" s="49"/>
      <c r="L663" s="49"/>
      <c r="M663" s="49"/>
    </row>
    <row r="664" spans="2:13" ht="13.2">
      <c r="B664" s="67"/>
      <c r="C664" s="35"/>
      <c r="G664" s="49"/>
      <c r="H664" s="49"/>
      <c r="L664" s="49"/>
      <c r="M664" s="49"/>
    </row>
    <row r="665" spans="2:13" ht="13.2">
      <c r="B665" s="67"/>
      <c r="C665" s="35"/>
      <c r="G665" s="49"/>
      <c r="H665" s="49"/>
      <c r="L665" s="49"/>
      <c r="M665" s="49"/>
    </row>
    <row r="666" spans="2:13" ht="13.2">
      <c r="B666" s="67"/>
      <c r="C666" s="35"/>
      <c r="G666" s="49"/>
      <c r="H666" s="49"/>
      <c r="L666" s="49"/>
      <c r="M666" s="49"/>
    </row>
    <row r="667" spans="2:13" ht="13.2">
      <c r="B667" s="67"/>
      <c r="C667" s="35"/>
      <c r="G667" s="49"/>
      <c r="H667" s="49"/>
      <c r="L667" s="49"/>
      <c r="M667" s="49"/>
    </row>
    <row r="668" spans="2:13" ht="13.2">
      <c r="B668" s="67"/>
      <c r="C668" s="35"/>
      <c r="G668" s="49"/>
      <c r="H668" s="49"/>
      <c r="L668" s="49"/>
      <c r="M668" s="49"/>
    </row>
    <row r="669" spans="2:13" ht="13.2">
      <c r="B669" s="67"/>
      <c r="C669" s="35"/>
      <c r="G669" s="49"/>
      <c r="H669" s="49"/>
      <c r="L669" s="49"/>
      <c r="M669" s="49"/>
    </row>
    <row r="670" spans="2:13" ht="13.2">
      <c r="B670" s="67"/>
      <c r="C670" s="35"/>
      <c r="G670" s="49"/>
      <c r="H670" s="49"/>
      <c r="L670" s="49"/>
      <c r="M670" s="49"/>
    </row>
    <row r="671" spans="2:13" ht="13.2">
      <c r="B671" s="67"/>
      <c r="C671" s="35"/>
      <c r="G671" s="49"/>
      <c r="H671" s="49"/>
      <c r="L671" s="49"/>
      <c r="M671" s="49"/>
    </row>
    <row r="672" spans="2:13" ht="13.2">
      <c r="B672" s="67"/>
      <c r="C672" s="35"/>
      <c r="G672" s="49"/>
      <c r="H672" s="49"/>
      <c r="L672" s="49"/>
      <c r="M672" s="49"/>
    </row>
    <row r="673" spans="2:13" ht="13.2">
      <c r="B673" s="67"/>
      <c r="C673" s="35"/>
      <c r="G673" s="49"/>
      <c r="H673" s="49"/>
      <c r="L673" s="49"/>
      <c r="M673" s="49"/>
    </row>
    <row r="674" spans="2:13" ht="13.2">
      <c r="B674" s="67"/>
      <c r="C674" s="35"/>
      <c r="G674" s="49"/>
      <c r="H674" s="49"/>
      <c r="L674" s="49"/>
      <c r="M674" s="49"/>
    </row>
    <row r="675" spans="2:13" ht="13.2">
      <c r="B675" s="67"/>
      <c r="C675" s="35"/>
      <c r="G675" s="49"/>
      <c r="H675" s="49"/>
      <c r="L675" s="49"/>
      <c r="M675" s="49"/>
    </row>
    <row r="676" spans="2:13" ht="13.2">
      <c r="B676" s="67"/>
      <c r="C676" s="35"/>
      <c r="G676" s="49"/>
      <c r="H676" s="49"/>
      <c r="L676" s="49"/>
      <c r="M676" s="49"/>
    </row>
    <row r="677" spans="2:13" ht="13.2">
      <c r="B677" s="67"/>
      <c r="C677" s="35"/>
      <c r="G677" s="49"/>
      <c r="H677" s="49"/>
      <c r="L677" s="49"/>
      <c r="M677" s="49"/>
    </row>
    <row r="678" spans="2:13" ht="13.2">
      <c r="B678" s="67"/>
      <c r="C678" s="35"/>
      <c r="G678" s="49"/>
      <c r="H678" s="49"/>
      <c r="L678" s="49"/>
      <c r="M678" s="49"/>
    </row>
    <row r="679" spans="2:13" ht="13.2">
      <c r="B679" s="67"/>
      <c r="C679" s="35"/>
      <c r="G679" s="49"/>
      <c r="H679" s="49"/>
      <c r="L679" s="49"/>
      <c r="M679" s="49"/>
    </row>
    <row r="680" spans="2:13" ht="13.2">
      <c r="B680" s="67"/>
      <c r="C680" s="35"/>
      <c r="G680" s="49"/>
      <c r="H680" s="49"/>
      <c r="L680" s="49"/>
      <c r="M680" s="49"/>
    </row>
    <row r="681" spans="2:13" ht="13.2">
      <c r="B681" s="67"/>
      <c r="C681" s="35"/>
      <c r="G681" s="49"/>
      <c r="H681" s="49"/>
      <c r="L681" s="49"/>
      <c r="M681" s="49"/>
    </row>
    <row r="682" spans="2:13" ht="13.2">
      <c r="B682" s="67"/>
      <c r="C682" s="35"/>
      <c r="G682" s="49"/>
      <c r="H682" s="49"/>
      <c r="L682" s="49"/>
      <c r="M682" s="49"/>
    </row>
    <row r="683" spans="2:13" ht="13.2">
      <c r="B683" s="67"/>
      <c r="C683" s="35"/>
      <c r="G683" s="49"/>
      <c r="H683" s="49"/>
      <c r="L683" s="49"/>
      <c r="M683" s="49"/>
    </row>
    <row r="684" spans="2:13" ht="13.2">
      <c r="B684" s="67"/>
      <c r="C684" s="35"/>
      <c r="G684" s="49"/>
      <c r="H684" s="49"/>
      <c r="L684" s="49"/>
      <c r="M684" s="49"/>
    </row>
    <row r="685" spans="2:13" ht="13.2">
      <c r="B685" s="67"/>
      <c r="C685" s="35"/>
      <c r="G685" s="49"/>
      <c r="H685" s="49"/>
      <c r="L685" s="49"/>
      <c r="M685" s="49"/>
    </row>
    <row r="686" spans="2:13" ht="13.2">
      <c r="B686" s="67"/>
      <c r="C686" s="35"/>
      <c r="G686" s="49"/>
      <c r="H686" s="49"/>
      <c r="L686" s="49"/>
      <c r="M686" s="49"/>
    </row>
    <row r="687" spans="2:13" ht="13.2">
      <c r="B687" s="67"/>
      <c r="C687" s="35"/>
      <c r="G687" s="49"/>
      <c r="H687" s="49"/>
      <c r="L687" s="49"/>
      <c r="M687" s="49"/>
    </row>
    <row r="688" spans="2:13" ht="13.2">
      <c r="B688" s="67"/>
      <c r="C688" s="35"/>
      <c r="G688" s="49"/>
      <c r="H688" s="49"/>
      <c r="L688" s="49"/>
      <c r="M688" s="49"/>
    </row>
    <row r="689" spans="2:13" ht="13.2">
      <c r="B689" s="67"/>
      <c r="C689" s="35"/>
      <c r="G689" s="49"/>
      <c r="H689" s="49"/>
      <c r="L689" s="49"/>
      <c r="M689" s="49"/>
    </row>
    <row r="690" spans="2:13" ht="13.2">
      <c r="B690" s="67"/>
      <c r="C690" s="35"/>
      <c r="G690" s="49"/>
      <c r="H690" s="49"/>
      <c r="L690" s="49"/>
      <c r="M690" s="49"/>
    </row>
    <row r="691" spans="2:13" ht="13.2">
      <c r="B691" s="67"/>
      <c r="C691" s="35"/>
      <c r="G691" s="49"/>
      <c r="H691" s="49"/>
      <c r="L691" s="49"/>
      <c r="M691" s="49"/>
    </row>
    <row r="692" spans="2:13" ht="13.2">
      <c r="B692" s="67"/>
      <c r="C692" s="35"/>
      <c r="G692" s="49"/>
      <c r="H692" s="49"/>
      <c r="L692" s="49"/>
      <c r="M692" s="49"/>
    </row>
    <row r="693" spans="2:13" ht="13.2">
      <c r="B693" s="67"/>
      <c r="C693" s="35"/>
      <c r="G693" s="49"/>
      <c r="H693" s="49"/>
      <c r="L693" s="49"/>
      <c r="M693" s="49"/>
    </row>
    <row r="694" spans="2:13" ht="13.2">
      <c r="B694" s="67"/>
      <c r="C694" s="35"/>
      <c r="G694" s="49"/>
      <c r="H694" s="49"/>
      <c r="L694" s="49"/>
      <c r="M694" s="49"/>
    </row>
    <row r="695" spans="2:13" ht="13.2">
      <c r="B695" s="67"/>
      <c r="C695" s="35"/>
      <c r="G695" s="49"/>
      <c r="H695" s="49"/>
      <c r="L695" s="49"/>
      <c r="M695" s="49"/>
    </row>
    <row r="696" spans="2:13" ht="13.2">
      <c r="B696" s="67"/>
      <c r="C696" s="35"/>
      <c r="G696" s="49"/>
      <c r="H696" s="49"/>
      <c r="L696" s="49"/>
      <c r="M696" s="49"/>
    </row>
    <row r="697" spans="2:13" ht="13.2">
      <c r="B697" s="67"/>
      <c r="C697" s="35"/>
      <c r="G697" s="49"/>
      <c r="H697" s="49"/>
      <c r="L697" s="49"/>
      <c r="M697" s="49"/>
    </row>
    <row r="698" spans="2:13" ht="13.2">
      <c r="B698" s="67"/>
      <c r="C698" s="35"/>
      <c r="G698" s="49"/>
      <c r="H698" s="49"/>
      <c r="L698" s="49"/>
      <c r="M698" s="49"/>
    </row>
    <row r="699" spans="2:13" ht="13.2">
      <c r="B699" s="67"/>
      <c r="C699" s="35"/>
      <c r="G699" s="49"/>
      <c r="H699" s="49"/>
      <c r="L699" s="49"/>
      <c r="M699" s="49"/>
    </row>
    <row r="700" spans="2:13" ht="13.2">
      <c r="B700" s="67"/>
      <c r="C700" s="35"/>
      <c r="G700" s="49"/>
      <c r="H700" s="49"/>
      <c r="L700" s="49"/>
      <c r="M700" s="49"/>
    </row>
    <row r="701" spans="2:13" ht="13.2">
      <c r="B701" s="67"/>
      <c r="C701" s="35"/>
      <c r="G701" s="49"/>
      <c r="H701" s="49"/>
      <c r="L701" s="49"/>
      <c r="M701" s="49"/>
    </row>
    <row r="702" spans="2:13" ht="13.2">
      <c r="B702" s="67"/>
      <c r="C702" s="35"/>
      <c r="G702" s="49"/>
      <c r="H702" s="49"/>
      <c r="L702" s="49"/>
      <c r="M702" s="49"/>
    </row>
    <row r="703" spans="2:13" ht="13.2">
      <c r="B703" s="67"/>
      <c r="C703" s="35"/>
      <c r="G703" s="49"/>
      <c r="H703" s="49"/>
      <c r="L703" s="49"/>
      <c r="M703" s="49"/>
    </row>
    <row r="704" spans="2:13" ht="13.2">
      <c r="B704" s="67"/>
      <c r="C704" s="35"/>
      <c r="G704" s="49"/>
      <c r="H704" s="49"/>
      <c r="L704" s="49"/>
      <c r="M704" s="49"/>
    </row>
    <row r="705" spans="2:13" ht="13.2">
      <c r="B705" s="67"/>
      <c r="C705" s="35"/>
      <c r="G705" s="49"/>
      <c r="H705" s="49"/>
      <c r="L705" s="49"/>
      <c r="M705" s="49"/>
    </row>
    <row r="706" spans="2:13" ht="13.2">
      <c r="B706" s="67"/>
      <c r="C706" s="35"/>
      <c r="G706" s="49"/>
      <c r="H706" s="49"/>
      <c r="L706" s="49"/>
      <c r="M706" s="49"/>
    </row>
    <row r="707" spans="2:13" ht="13.2">
      <c r="B707" s="67"/>
      <c r="C707" s="35"/>
      <c r="G707" s="49"/>
      <c r="H707" s="49"/>
      <c r="L707" s="49"/>
      <c r="M707" s="49"/>
    </row>
    <row r="708" spans="2:13" ht="13.2">
      <c r="B708" s="67"/>
      <c r="C708" s="35"/>
      <c r="G708" s="49"/>
      <c r="H708" s="49"/>
      <c r="L708" s="49"/>
      <c r="M708" s="49"/>
    </row>
    <row r="709" spans="2:13" ht="13.2">
      <c r="B709" s="67"/>
      <c r="C709" s="35"/>
      <c r="G709" s="49"/>
      <c r="H709" s="49"/>
      <c r="L709" s="49"/>
      <c r="M709" s="49"/>
    </row>
    <row r="710" spans="2:13" ht="13.2">
      <c r="B710" s="67"/>
      <c r="C710" s="35"/>
      <c r="G710" s="49"/>
      <c r="H710" s="49"/>
      <c r="L710" s="49"/>
      <c r="M710" s="49"/>
    </row>
    <row r="711" spans="2:13" ht="13.2">
      <c r="B711" s="67"/>
      <c r="C711" s="35"/>
      <c r="G711" s="49"/>
      <c r="H711" s="49"/>
      <c r="L711" s="49"/>
      <c r="M711" s="49"/>
    </row>
    <row r="712" spans="2:13" ht="13.2">
      <c r="B712" s="67"/>
      <c r="C712" s="35"/>
      <c r="G712" s="49"/>
      <c r="H712" s="49"/>
      <c r="L712" s="49"/>
      <c r="M712" s="49"/>
    </row>
    <row r="713" spans="2:13" ht="13.2">
      <c r="B713" s="67"/>
      <c r="C713" s="35"/>
      <c r="G713" s="49"/>
      <c r="H713" s="49"/>
      <c r="L713" s="49"/>
      <c r="M713" s="49"/>
    </row>
    <row r="714" spans="2:13" ht="13.2">
      <c r="B714" s="67"/>
      <c r="C714" s="35"/>
      <c r="G714" s="49"/>
      <c r="H714" s="49"/>
      <c r="L714" s="49"/>
      <c r="M714" s="49"/>
    </row>
    <row r="715" spans="2:13" ht="13.2">
      <c r="B715" s="67"/>
      <c r="C715" s="35"/>
      <c r="G715" s="49"/>
      <c r="H715" s="49"/>
      <c r="L715" s="49"/>
      <c r="M715" s="49"/>
    </row>
    <row r="716" spans="2:13" ht="13.2">
      <c r="B716" s="67"/>
      <c r="C716" s="35"/>
      <c r="G716" s="49"/>
      <c r="H716" s="49"/>
      <c r="L716" s="49"/>
      <c r="M716" s="49"/>
    </row>
    <row r="717" spans="2:13" ht="13.2">
      <c r="B717" s="67"/>
      <c r="C717" s="35"/>
      <c r="G717" s="49"/>
      <c r="H717" s="49"/>
      <c r="L717" s="49"/>
      <c r="M717" s="49"/>
    </row>
    <row r="718" spans="2:13" ht="13.2">
      <c r="B718" s="67"/>
      <c r="C718" s="35"/>
      <c r="G718" s="49"/>
      <c r="H718" s="49"/>
      <c r="L718" s="49"/>
      <c r="M718" s="49"/>
    </row>
    <row r="719" spans="2:13" ht="13.2">
      <c r="B719" s="67"/>
      <c r="C719" s="35"/>
      <c r="G719" s="49"/>
      <c r="H719" s="49"/>
      <c r="L719" s="49"/>
      <c r="M719" s="49"/>
    </row>
    <row r="720" spans="2:13" ht="13.2">
      <c r="B720" s="67"/>
      <c r="C720" s="35"/>
      <c r="G720" s="49"/>
      <c r="H720" s="49"/>
      <c r="L720" s="49"/>
      <c r="M720" s="49"/>
    </row>
    <row r="721" spans="2:13" ht="13.2">
      <c r="B721" s="67"/>
      <c r="C721" s="35"/>
      <c r="G721" s="49"/>
      <c r="H721" s="49"/>
      <c r="L721" s="49"/>
      <c r="M721" s="49"/>
    </row>
    <row r="722" spans="2:13" ht="13.2">
      <c r="B722" s="67"/>
      <c r="C722" s="35"/>
      <c r="G722" s="49"/>
      <c r="H722" s="49"/>
      <c r="L722" s="49"/>
      <c r="M722" s="49"/>
    </row>
    <row r="723" spans="2:13" ht="13.2">
      <c r="B723" s="67"/>
      <c r="C723" s="35"/>
      <c r="G723" s="49"/>
      <c r="H723" s="49"/>
      <c r="L723" s="49"/>
      <c r="M723" s="49"/>
    </row>
    <row r="724" spans="2:13" ht="13.2">
      <c r="B724" s="67"/>
      <c r="C724" s="35"/>
      <c r="G724" s="49"/>
      <c r="H724" s="49"/>
      <c r="L724" s="49"/>
      <c r="M724" s="49"/>
    </row>
    <row r="725" spans="2:13" ht="13.2">
      <c r="B725" s="67"/>
      <c r="C725" s="35"/>
      <c r="G725" s="49"/>
      <c r="H725" s="49"/>
      <c r="L725" s="49"/>
      <c r="M725" s="49"/>
    </row>
    <row r="726" spans="2:13" ht="13.2">
      <c r="B726" s="67"/>
      <c r="C726" s="35"/>
      <c r="G726" s="49"/>
      <c r="H726" s="49"/>
      <c r="L726" s="49"/>
      <c r="M726" s="49"/>
    </row>
    <row r="727" spans="2:13" ht="13.2">
      <c r="B727" s="67"/>
      <c r="C727" s="35"/>
      <c r="G727" s="49"/>
      <c r="H727" s="49"/>
      <c r="L727" s="49"/>
      <c r="M727" s="49"/>
    </row>
    <row r="728" spans="2:13" ht="13.2">
      <c r="B728" s="67"/>
      <c r="C728" s="35"/>
      <c r="G728" s="49"/>
      <c r="H728" s="49"/>
      <c r="L728" s="49"/>
      <c r="M728" s="49"/>
    </row>
    <row r="729" spans="2:13" ht="13.2">
      <c r="B729" s="67"/>
      <c r="C729" s="35"/>
      <c r="G729" s="49"/>
      <c r="H729" s="49"/>
      <c r="L729" s="49"/>
      <c r="M729" s="49"/>
    </row>
    <row r="730" spans="2:13" ht="13.2">
      <c r="B730" s="67"/>
      <c r="C730" s="35"/>
      <c r="G730" s="49"/>
      <c r="H730" s="49"/>
      <c r="L730" s="49"/>
      <c r="M730" s="49"/>
    </row>
    <row r="731" spans="2:13" ht="13.2">
      <c r="B731" s="67"/>
      <c r="C731" s="35"/>
      <c r="G731" s="49"/>
      <c r="H731" s="49"/>
      <c r="L731" s="49"/>
      <c r="M731" s="49"/>
    </row>
    <row r="732" spans="2:13" ht="13.2">
      <c r="B732" s="67"/>
      <c r="C732" s="35"/>
      <c r="G732" s="49"/>
      <c r="H732" s="49"/>
      <c r="L732" s="49"/>
      <c r="M732" s="49"/>
    </row>
    <row r="733" spans="2:13" ht="13.2">
      <c r="B733" s="67"/>
      <c r="C733" s="35"/>
      <c r="G733" s="49"/>
      <c r="H733" s="49"/>
      <c r="L733" s="49"/>
      <c r="M733" s="49"/>
    </row>
    <row r="734" spans="2:13" ht="13.2">
      <c r="B734" s="67"/>
      <c r="C734" s="35"/>
      <c r="G734" s="49"/>
      <c r="H734" s="49"/>
      <c r="L734" s="49"/>
      <c r="M734" s="49"/>
    </row>
    <row r="735" spans="2:13" ht="13.2">
      <c r="B735" s="67"/>
      <c r="C735" s="35"/>
      <c r="G735" s="49"/>
      <c r="H735" s="49"/>
      <c r="L735" s="49"/>
      <c r="M735" s="49"/>
    </row>
    <row r="736" spans="2:13" ht="13.2">
      <c r="B736" s="67"/>
      <c r="C736" s="35"/>
      <c r="G736" s="49"/>
      <c r="H736" s="49"/>
      <c r="L736" s="49"/>
      <c r="M736" s="49"/>
    </row>
    <row r="737" spans="2:13" ht="13.2">
      <c r="B737" s="67"/>
      <c r="C737" s="35"/>
      <c r="G737" s="49"/>
      <c r="H737" s="49"/>
      <c r="L737" s="49"/>
      <c r="M737" s="49"/>
    </row>
    <row r="738" spans="2:13" ht="13.2">
      <c r="B738" s="67"/>
      <c r="C738" s="35"/>
      <c r="G738" s="49"/>
      <c r="H738" s="49"/>
      <c r="L738" s="49"/>
      <c r="M738" s="49"/>
    </row>
    <row r="739" spans="2:13" ht="13.2">
      <c r="B739" s="67"/>
      <c r="C739" s="35"/>
      <c r="G739" s="49"/>
      <c r="H739" s="49"/>
      <c r="L739" s="49"/>
      <c r="M739" s="49"/>
    </row>
    <row r="740" spans="2:13" ht="13.2">
      <c r="B740" s="67"/>
      <c r="C740" s="35"/>
      <c r="G740" s="49"/>
      <c r="H740" s="49"/>
      <c r="L740" s="49"/>
      <c r="M740" s="49"/>
    </row>
    <row r="741" spans="2:13" ht="13.2">
      <c r="B741" s="67"/>
      <c r="C741" s="35"/>
      <c r="G741" s="49"/>
      <c r="H741" s="49"/>
      <c r="L741" s="49"/>
      <c r="M741" s="49"/>
    </row>
    <row r="742" spans="2:13" ht="13.2">
      <c r="B742" s="67"/>
      <c r="C742" s="35"/>
      <c r="G742" s="49"/>
      <c r="H742" s="49"/>
      <c r="L742" s="49"/>
      <c r="M742" s="49"/>
    </row>
    <row r="743" spans="2:13" ht="13.2">
      <c r="B743" s="67"/>
      <c r="C743" s="35"/>
      <c r="G743" s="49"/>
      <c r="H743" s="49"/>
      <c r="L743" s="49"/>
      <c r="M743" s="49"/>
    </row>
    <row r="744" spans="2:13" ht="13.2">
      <c r="B744" s="67"/>
      <c r="C744" s="35"/>
      <c r="G744" s="49"/>
      <c r="H744" s="49"/>
      <c r="L744" s="49"/>
      <c r="M744" s="49"/>
    </row>
    <row r="745" spans="2:13" ht="13.2">
      <c r="B745" s="67"/>
      <c r="C745" s="35"/>
      <c r="G745" s="49"/>
      <c r="H745" s="49"/>
      <c r="L745" s="49"/>
      <c r="M745" s="49"/>
    </row>
    <row r="746" spans="2:13" ht="13.2">
      <c r="B746" s="67"/>
      <c r="C746" s="35"/>
      <c r="G746" s="49"/>
      <c r="H746" s="49"/>
      <c r="L746" s="49"/>
      <c r="M746" s="49"/>
    </row>
    <row r="747" spans="2:13" ht="13.2">
      <c r="B747" s="67"/>
      <c r="C747" s="35"/>
      <c r="G747" s="49"/>
      <c r="H747" s="49"/>
      <c r="L747" s="49"/>
      <c r="M747" s="49"/>
    </row>
    <row r="748" spans="2:13" ht="13.2">
      <c r="B748" s="67"/>
      <c r="C748" s="35"/>
      <c r="G748" s="49"/>
      <c r="H748" s="49"/>
      <c r="L748" s="49"/>
      <c r="M748" s="49"/>
    </row>
    <row r="749" spans="2:13" ht="13.2">
      <c r="B749" s="67"/>
      <c r="C749" s="35"/>
      <c r="G749" s="49"/>
      <c r="H749" s="49"/>
      <c r="L749" s="49"/>
      <c r="M749" s="49"/>
    </row>
    <row r="750" spans="2:13" ht="13.2">
      <c r="B750" s="67"/>
      <c r="C750" s="35"/>
      <c r="G750" s="49"/>
      <c r="H750" s="49"/>
      <c r="L750" s="49"/>
      <c r="M750" s="49"/>
    </row>
    <row r="751" spans="2:13" ht="13.2">
      <c r="B751" s="67"/>
      <c r="C751" s="35"/>
      <c r="G751" s="49"/>
      <c r="H751" s="49"/>
      <c r="L751" s="49"/>
      <c r="M751" s="49"/>
    </row>
    <row r="752" spans="2:13" ht="13.2">
      <c r="B752" s="67"/>
      <c r="C752" s="35"/>
      <c r="G752" s="49"/>
      <c r="H752" s="49"/>
      <c r="L752" s="49"/>
      <c r="M752" s="49"/>
    </row>
    <row r="753" spans="2:13" ht="13.2">
      <c r="B753" s="67"/>
      <c r="C753" s="35"/>
      <c r="G753" s="49"/>
      <c r="H753" s="49"/>
      <c r="L753" s="49"/>
      <c r="M753" s="49"/>
    </row>
    <row r="754" spans="2:13" ht="13.2">
      <c r="B754" s="67"/>
      <c r="C754" s="35"/>
      <c r="G754" s="49"/>
      <c r="H754" s="49"/>
      <c r="L754" s="49"/>
      <c r="M754" s="49"/>
    </row>
    <row r="755" spans="2:13" ht="13.2">
      <c r="B755" s="67"/>
      <c r="C755" s="35"/>
      <c r="G755" s="49"/>
      <c r="H755" s="49"/>
      <c r="L755" s="49"/>
      <c r="M755" s="49"/>
    </row>
    <row r="756" spans="2:13" ht="13.2">
      <c r="B756" s="67"/>
      <c r="C756" s="35"/>
      <c r="G756" s="49"/>
      <c r="H756" s="49"/>
      <c r="L756" s="49"/>
      <c r="M756" s="49"/>
    </row>
    <row r="757" spans="2:13" ht="13.2">
      <c r="B757" s="67"/>
      <c r="C757" s="35"/>
      <c r="G757" s="49"/>
      <c r="H757" s="49"/>
      <c r="L757" s="49"/>
      <c r="M757" s="49"/>
    </row>
    <row r="758" spans="2:13" ht="13.2">
      <c r="B758" s="67"/>
      <c r="C758" s="35"/>
      <c r="G758" s="49"/>
      <c r="H758" s="49"/>
      <c r="L758" s="49"/>
      <c r="M758" s="49"/>
    </row>
    <row r="759" spans="2:13" ht="13.2">
      <c r="B759" s="67"/>
      <c r="C759" s="35"/>
      <c r="G759" s="49"/>
      <c r="H759" s="49"/>
      <c r="L759" s="49"/>
      <c r="M759" s="49"/>
    </row>
    <row r="760" spans="2:13" ht="13.2">
      <c r="B760" s="67"/>
      <c r="C760" s="35"/>
      <c r="G760" s="49"/>
      <c r="H760" s="49"/>
      <c r="L760" s="49"/>
      <c r="M760" s="49"/>
    </row>
    <row r="761" spans="2:13" ht="13.2">
      <c r="B761" s="67"/>
      <c r="C761" s="35"/>
      <c r="G761" s="49"/>
      <c r="H761" s="49"/>
      <c r="L761" s="49"/>
      <c r="M761" s="49"/>
    </row>
    <row r="762" spans="2:13" ht="13.2">
      <c r="B762" s="67"/>
      <c r="C762" s="35"/>
      <c r="G762" s="49"/>
      <c r="H762" s="49"/>
      <c r="L762" s="49"/>
      <c r="M762" s="49"/>
    </row>
    <row r="763" spans="2:13" ht="13.2">
      <c r="B763" s="67"/>
      <c r="C763" s="35"/>
      <c r="G763" s="49"/>
      <c r="H763" s="49"/>
      <c r="L763" s="49"/>
      <c r="M763" s="49"/>
    </row>
    <row r="764" spans="2:13" ht="13.2">
      <c r="B764" s="67"/>
      <c r="C764" s="35"/>
      <c r="G764" s="49"/>
      <c r="H764" s="49"/>
      <c r="L764" s="49"/>
      <c r="M764" s="49"/>
    </row>
    <row r="765" spans="2:13" ht="13.2">
      <c r="B765" s="67"/>
      <c r="C765" s="35"/>
      <c r="G765" s="49"/>
      <c r="H765" s="49"/>
      <c r="L765" s="49"/>
      <c r="M765" s="49"/>
    </row>
    <row r="766" spans="2:13" ht="13.2">
      <c r="B766" s="67"/>
      <c r="C766" s="35"/>
      <c r="G766" s="49"/>
      <c r="H766" s="49"/>
      <c r="L766" s="49"/>
      <c r="M766" s="49"/>
    </row>
    <row r="767" spans="2:13" ht="13.2">
      <c r="B767" s="67"/>
      <c r="C767" s="35"/>
      <c r="G767" s="49"/>
      <c r="H767" s="49"/>
      <c r="L767" s="49"/>
      <c r="M767" s="49"/>
    </row>
    <row r="768" spans="2:13" ht="13.2">
      <c r="B768" s="67"/>
      <c r="C768" s="35"/>
      <c r="G768" s="49"/>
      <c r="H768" s="49"/>
      <c r="L768" s="49"/>
      <c r="M768" s="49"/>
    </row>
    <row r="769" spans="2:13" ht="13.2">
      <c r="B769" s="67"/>
      <c r="C769" s="35"/>
      <c r="G769" s="49"/>
      <c r="H769" s="49"/>
      <c r="L769" s="49"/>
      <c r="M769" s="49"/>
    </row>
    <row r="770" spans="2:13" ht="13.2">
      <c r="B770" s="67"/>
      <c r="C770" s="35"/>
      <c r="G770" s="49"/>
      <c r="H770" s="49"/>
      <c r="L770" s="49"/>
      <c r="M770" s="49"/>
    </row>
    <row r="771" spans="2:13" ht="13.2">
      <c r="B771" s="67"/>
      <c r="C771" s="35"/>
      <c r="G771" s="49"/>
      <c r="H771" s="49"/>
      <c r="L771" s="49"/>
      <c r="M771" s="49"/>
    </row>
    <row r="772" spans="2:13" ht="13.2">
      <c r="B772" s="67"/>
      <c r="C772" s="35"/>
      <c r="G772" s="49"/>
      <c r="H772" s="49"/>
      <c r="L772" s="49"/>
      <c r="M772" s="49"/>
    </row>
    <row r="773" spans="2:13" ht="13.2">
      <c r="B773" s="67"/>
      <c r="C773" s="35"/>
      <c r="G773" s="49"/>
      <c r="H773" s="49"/>
      <c r="L773" s="49"/>
      <c r="M773" s="49"/>
    </row>
    <row r="774" spans="2:13" ht="13.2">
      <c r="B774" s="67"/>
      <c r="C774" s="35"/>
      <c r="G774" s="49"/>
      <c r="H774" s="49"/>
      <c r="L774" s="49"/>
      <c r="M774" s="49"/>
    </row>
    <row r="775" spans="2:13" ht="13.2">
      <c r="B775" s="67"/>
      <c r="C775" s="35"/>
      <c r="G775" s="49"/>
      <c r="H775" s="49"/>
      <c r="L775" s="49"/>
      <c r="M775" s="49"/>
    </row>
    <row r="776" spans="2:13" ht="13.2">
      <c r="B776" s="67"/>
      <c r="C776" s="35"/>
      <c r="G776" s="49"/>
      <c r="H776" s="49"/>
      <c r="L776" s="49"/>
      <c r="M776" s="49"/>
    </row>
    <row r="777" spans="2:13" ht="13.2">
      <c r="B777" s="67"/>
      <c r="C777" s="35"/>
      <c r="G777" s="49"/>
      <c r="H777" s="49"/>
      <c r="L777" s="49"/>
      <c r="M777" s="49"/>
    </row>
    <row r="778" spans="2:13" ht="13.2">
      <c r="B778" s="67"/>
      <c r="C778" s="35"/>
      <c r="G778" s="49"/>
      <c r="H778" s="49"/>
      <c r="L778" s="49"/>
      <c r="M778" s="49"/>
    </row>
    <row r="779" spans="2:13" ht="13.2">
      <c r="B779" s="67"/>
      <c r="C779" s="35"/>
      <c r="G779" s="49"/>
      <c r="H779" s="49"/>
      <c r="L779" s="49"/>
      <c r="M779" s="49"/>
    </row>
    <row r="780" spans="2:13" ht="13.2">
      <c r="B780" s="67"/>
      <c r="C780" s="35"/>
      <c r="G780" s="49"/>
      <c r="H780" s="49"/>
      <c r="L780" s="49"/>
      <c r="M780" s="49"/>
    </row>
    <row r="781" spans="2:13" ht="13.2">
      <c r="B781" s="67"/>
      <c r="C781" s="35"/>
      <c r="G781" s="49"/>
      <c r="H781" s="49"/>
      <c r="L781" s="49"/>
      <c r="M781" s="49"/>
    </row>
    <row r="782" spans="2:13" ht="13.2">
      <c r="B782" s="67"/>
      <c r="C782" s="35"/>
      <c r="G782" s="49"/>
      <c r="H782" s="49"/>
      <c r="L782" s="49"/>
      <c r="M782" s="49"/>
    </row>
    <row r="783" spans="2:13" ht="13.2">
      <c r="B783" s="67"/>
      <c r="C783" s="35"/>
      <c r="G783" s="49"/>
      <c r="H783" s="49"/>
      <c r="L783" s="49"/>
      <c r="M783" s="49"/>
    </row>
    <row r="784" spans="2:13" ht="13.2">
      <c r="B784" s="67"/>
      <c r="C784" s="35"/>
      <c r="G784" s="49"/>
      <c r="H784" s="49"/>
      <c r="L784" s="49"/>
      <c r="M784" s="49"/>
    </row>
    <row r="785" spans="2:13" ht="13.2">
      <c r="B785" s="67"/>
      <c r="C785" s="35"/>
      <c r="G785" s="49"/>
      <c r="H785" s="49"/>
      <c r="L785" s="49"/>
      <c r="M785" s="49"/>
    </row>
    <row r="786" spans="2:13" ht="13.2">
      <c r="B786" s="67"/>
      <c r="C786" s="35"/>
      <c r="G786" s="49"/>
      <c r="H786" s="49"/>
      <c r="L786" s="49"/>
      <c r="M786" s="49"/>
    </row>
    <row r="787" spans="2:13" ht="13.2">
      <c r="B787" s="67"/>
      <c r="C787" s="35"/>
      <c r="G787" s="49"/>
      <c r="H787" s="49"/>
      <c r="L787" s="49"/>
      <c r="M787" s="49"/>
    </row>
    <row r="788" spans="2:13" ht="13.2">
      <c r="B788" s="67"/>
      <c r="C788" s="35"/>
      <c r="G788" s="49"/>
      <c r="H788" s="49"/>
      <c r="L788" s="49"/>
      <c r="M788" s="49"/>
    </row>
    <row r="789" spans="2:13" ht="13.2">
      <c r="B789" s="67"/>
      <c r="C789" s="35"/>
      <c r="G789" s="49"/>
      <c r="H789" s="49"/>
      <c r="L789" s="49"/>
      <c r="M789" s="49"/>
    </row>
    <row r="790" spans="2:13" ht="13.2">
      <c r="B790" s="67"/>
      <c r="C790" s="35"/>
      <c r="G790" s="49"/>
      <c r="H790" s="49"/>
      <c r="L790" s="49"/>
      <c r="M790" s="49"/>
    </row>
    <row r="791" spans="2:13" ht="13.2">
      <c r="B791" s="67"/>
      <c r="C791" s="35"/>
      <c r="G791" s="49"/>
      <c r="H791" s="49"/>
      <c r="L791" s="49"/>
      <c r="M791" s="49"/>
    </row>
    <row r="792" spans="2:13" ht="13.2">
      <c r="B792" s="67"/>
      <c r="C792" s="35"/>
      <c r="G792" s="49"/>
      <c r="H792" s="49"/>
      <c r="L792" s="49"/>
      <c r="M792" s="49"/>
    </row>
    <row r="793" spans="2:13" ht="13.2">
      <c r="B793" s="67"/>
      <c r="C793" s="35"/>
      <c r="G793" s="49"/>
      <c r="H793" s="49"/>
      <c r="L793" s="49"/>
      <c r="M793" s="49"/>
    </row>
    <row r="794" spans="2:13" ht="13.2">
      <c r="B794" s="67"/>
      <c r="C794" s="35"/>
      <c r="G794" s="49"/>
      <c r="H794" s="49"/>
      <c r="L794" s="49"/>
      <c r="M794" s="49"/>
    </row>
    <row r="795" spans="2:13" ht="13.2">
      <c r="B795" s="67"/>
      <c r="C795" s="35"/>
      <c r="G795" s="49"/>
      <c r="H795" s="49"/>
      <c r="L795" s="49"/>
      <c r="M795" s="49"/>
    </row>
    <row r="796" spans="2:13" ht="13.2">
      <c r="B796" s="67"/>
      <c r="C796" s="35"/>
      <c r="G796" s="49"/>
      <c r="H796" s="49"/>
      <c r="L796" s="49"/>
      <c r="M796" s="49"/>
    </row>
    <row r="797" spans="2:13" ht="13.2">
      <c r="B797" s="67"/>
      <c r="C797" s="35"/>
      <c r="G797" s="49"/>
      <c r="H797" s="49"/>
      <c r="L797" s="49"/>
      <c r="M797" s="49"/>
    </row>
    <row r="798" spans="2:13" ht="13.2">
      <c r="B798" s="67"/>
      <c r="C798" s="35"/>
      <c r="G798" s="49"/>
      <c r="H798" s="49"/>
      <c r="L798" s="49"/>
      <c r="M798" s="49"/>
    </row>
    <row r="799" spans="2:13" ht="13.2">
      <c r="B799" s="67"/>
      <c r="C799" s="35"/>
      <c r="G799" s="49"/>
      <c r="H799" s="49"/>
      <c r="L799" s="49"/>
      <c r="M799" s="49"/>
    </row>
    <row r="800" spans="2:13" ht="13.2">
      <c r="B800" s="67"/>
      <c r="C800" s="35"/>
      <c r="G800" s="49"/>
      <c r="H800" s="49"/>
      <c r="L800" s="49"/>
      <c r="M800" s="49"/>
    </row>
    <row r="801" spans="2:13" ht="13.2">
      <c r="B801" s="67"/>
      <c r="C801" s="35"/>
      <c r="G801" s="49"/>
      <c r="H801" s="49"/>
      <c r="L801" s="49"/>
      <c r="M801" s="49"/>
    </row>
    <row r="802" spans="2:13" ht="13.2">
      <c r="B802" s="67"/>
      <c r="C802" s="35"/>
      <c r="G802" s="49"/>
      <c r="H802" s="49"/>
      <c r="L802" s="49"/>
      <c r="M802" s="49"/>
    </row>
    <row r="803" spans="2:13" ht="13.2">
      <c r="B803" s="67"/>
      <c r="C803" s="35"/>
      <c r="G803" s="49"/>
      <c r="H803" s="49"/>
      <c r="L803" s="49"/>
      <c r="M803" s="49"/>
    </row>
    <row r="804" spans="2:13" ht="13.2">
      <c r="B804" s="67"/>
      <c r="C804" s="35"/>
      <c r="G804" s="49"/>
      <c r="H804" s="49"/>
      <c r="L804" s="49"/>
      <c r="M804" s="49"/>
    </row>
    <row r="805" spans="2:13" ht="13.2">
      <c r="B805" s="67"/>
      <c r="C805" s="35"/>
      <c r="G805" s="49"/>
      <c r="H805" s="49"/>
      <c r="L805" s="49"/>
      <c r="M805" s="49"/>
    </row>
    <row r="806" spans="2:13" ht="13.2">
      <c r="B806" s="67"/>
      <c r="C806" s="35"/>
      <c r="G806" s="49"/>
      <c r="H806" s="49"/>
      <c r="L806" s="49"/>
      <c r="M806" s="49"/>
    </row>
    <row r="807" spans="2:13" ht="13.2">
      <c r="B807" s="67"/>
      <c r="C807" s="35"/>
      <c r="G807" s="49"/>
      <c r="H807" s="49"/>
      <c r="L807" s="49"/>
      <c r="M807" s="49"/>
    </row>
    <row r="808" spans="2:13" ht="13.2">
      <c r="B808" s="67"/>
      <c r="C808" s="35"/>
      <c r="G808" s="49"/>
      <c r="H808" s="49"/>
      <c r="L808" s="49"/>
      <c r="M808" s="49"/>
    </row>
    <row r="809" spans="2:13" ht="13.2">
      <c r="B809" s="67"/>
      <c r="C809" s="35"/>
      <c r="G809" s="49"/>
      <c r="H809" s="49"/>
      <c r="L809" s="49"/>
      <c r="M809" s="49"/>
    </row>
    <row r="810" spans="2:13" ht="13.2">
      <c r="B810" s="67"/>
      <c r="C810" s="35"/>
      <c r="G810" s="49"/>
      <c r="H810" s="49"/>
      <c r="L810" s="49"/>
      <c r="M810" s="49"/>
    </row>
    <row r="811" spans="2:13" ht="13.2">
      <c r="B811" s="67"/>
      <c r="C811" s="35"/>
      <c r="G811" s="49"/>
      <c r="H811" s="49"/>
      <c r="L811" s="49"/>
      <c r="M811" s="49"/>
    </row>
    <row r="812" spans="2:13" ht="13.2">
      <c r="B812" s="67"/>
      <c r="C812" s="35"/>
      <c r="G812" s="49"/>
      <c r="H812" s="49"/>
      <c r="L812" s="49"/>
      <c r="M812" s="49"/>
    </row>
    <row r="813" spans="2:13" ht="13.2">
      <c r="B813" s="67"/>
      <c r="C813" s="35"/>
      <c r="G813" s="49"/>
      <c r="H813" s="49"/>
      <c r="L813" s="49"/>
      <c r="M813" s="49"/>
    </row>
    <row r="814" spans="2:13" ht="13.2">
      <c r="B814" s="67"/>
      <c r="C814" s="35"/>
      <c r="G814" s="49"/>
      <c r="H814" s="49"/>
      <c r="L814" s="49"/>
      <c r="M814" s="49"/>
    </row>
    <row r="815" spans="2:13" ht="13.2">
      <c r="B815" s="67"/>
      <c r="C815" s="35"/>
      <c r="G815" s="49"/>
      <c r="H815" s="49"/>
      <c r="L815" s="49"/>
      <c r="M815" s="49"/>
    </row>
    <row r="816" spans="2:13" ht="13.2">
      <c r="B816" s="67"/>
      <c r="C816" s="35"/>
      <c r="G816" s="49"/>
      <c r="H816" s="49"/>
      <c r="L816" s="49"/>
      <c r="M816" s="49"/>
    </row>
    <row r="817" spans="2:13" ht="13.2">
      <c r="B817" s="67"/>
      <c r="C817" s="35"/>
      <c r="G817" s="49"/>
      <c r="H817" s="49"/>
      <c r="L817" s="49"/>
      <c r="M817" s="49"/>
    </row>
    <row r="818" spans="2:13" ht="13.2">
      <c r="B818" s="67"/>
      <c r="C818" s="35"/>
      <c r="G818" s="49"/>
      <c r="H818" s="49"/>
      <c r="L818" s="49"/>
      <c r="M818" s="49"/>
    </row>
    <row r="819" spans="2:13" ht="13.2">
      <c r="B819" s="67"/>
      <c r="C819" s="35"/>
      <c r="G819" s="49"/>
      <c r="H819" s="49"/>
      <c r="L819" s="49"/>
      <c r="M819" s="49"/>
    </row>
    <row r="820" spans="2:13" ht="13.2">
      <c r="B820" s="67"/>
      <c r="C820" s="35"/>
      <c r="G820" s="49"/>
      <c r="H820" s="49"/>
      <c r="L820" s="49"/>
      <c r="M820" s="49"/>
    </row>
    <row r="821" spans="2:13" ht="13.2">
      <c r="B821" s="67"/>
      <c r="C821" s="35"/>
      <c r="G821" s="49"/>
      <c r="H821" s="49"/>
      <c r="L821" s="49"/>
      <c r="M821" s="49"/>
    </row>
    <row r="822" spans="2:13" ht="13.2">
      <c r="B822" s="67"/>
      <c r="C822" s="35"/>
      <c r="G822" s="49"/>
      <c r="H822" s="49"/>
      <c r="L822" s="49"/>
      <c r="M822" s="49"/>
    </row>
    <row r="823" spans="2:13" ht="13.2">
      <c r="B823" s="67"/>
      <c r="C823" s="35"/>
      <c r="G823" s="49"/>
      <c r="H823" s="49"/>
      <c r="L823" s="49"/>
      <c r="M823" s="49"/>
    </row>
    <row r="824" spans="2:13" ht="13.2">
      <c r="B824" s="67"/>
      <c r="C824" s="35"/>
      <c r="G824" s="49"/>
      <c r="H824" s="49"/>
      <c r="L824" s="49"/>
      <c r="M824" s="49"/>
    </row>
    <row r="825" spans="2:13" ht="13.2">
      <c r="B825" s="67"/>
      <c r="C825" s="35"/>
      <c r="G825" s="49"/>
      <c r="H825" s="49"/>
      <c r="L825" s="49"/>
      <c r="M825" s="49"/>
    </row>
    <row r="826" spans="2:13" ht="13.2">
      <c r="B826" s="67"/>
      <c r="C826" s="35"/>
      <c r="G826" s="49"/>
      <c r="H826" s="49"/>
      <c r="L826" s="49"/>
      <c r="M826" s="49"/>
    </row>
    <row r="827" spans="2:13" ht="13.2">
      <c r="B827" s="67"/>
      <c r="C827" s="35"/>
      <c r="G827" s="49"/>
      <c r="H827" s="49"/>
      <c r="L827" s="49"/>
      <c r="M827" s="49"/>
    </row>
    <row r="828" spans="2:13" ht="13.2">
      <c r="B828" s="67"/>
      <c r="C828" s="35"/>
      <c r="G828" s="49"/>
      <c r="H828" s="49"/>
      <c r="L828" s="49"/>
      <c r="M828" s="49"/>
    </row>
    <row r="829" spans="2:13" ht="13.2">
      <c r="B829" s="67"/>
      <c r="C829" s="35"/>
      <c r="G829" s="49"/>
      <c r="H829" s="49"/>
      <c r="L829" s="49"/>
      <c r="M829" s="49"/>
    </row>
    <row r="830" spans="2:13" ht="13.2">
      <c r="B830" s="67"/>
      <c r="C830" s="35"/>
      <c r="G830" s="49"/>
      <c r="H830" s="49"/>
      <c r="L830" s="49"/>
      <c r="M830" s="49"/>
    </row>
    <row r="831" spans="2:13" ht="13.2">
      <c r="B831" s="67"/>
      <c r="C831" s="35"/>
      <c r="G831" s="49"/>
      <c r="H831" s="49"/>
      <c r="L831" s="49"/>
      <c r="M831" s="49"/>
    </row>
    <row r="832" spans="2:13" ht="13.2">
      <c r="B832" s="67"/>
      <c r="C832" s="35"/>
      <c r="G832" s="49"/>
      <c r="H832" s="49"/>
      <c r="L832" s="49"/>
      <c r="M832" s="49"/>
    </row>
    <row r="833" spans="2:13" ht="13.2">
      <c r="B833" s="67"/>
      <c r="C833" s="35"/>
      <c r="G833" s="49"/>
      <c r="H833" s="49"/>
      <c r="L833" s="49"/>
      <c r="M833" s="49"/>
    </row>
    <row r="834" spans="2:13" ht="13.2">
      <c r="B834" s="67"/>
      <c r="C834" s="35"/>
      <c r="G834" s="49"/>
      <c r="H834" s="49"/>
      <c r="L834" s="49"/>
      <c r="M834" s="49"/>
    </row>
    <row r="835" spans="2:13" ht="13.2">
      <c r="B835" s="67"/>
      <c r="C835" s="35"/>
      <c r="G835" s="49"/>
      <c r="H835" s="49"/>
      <c r="L835" s="49"/>
      <c r="M835" s="49"/>
    </row>
    <row r="836" spans="2:13" ht="13.2">
      <c r="B836" s="67"/>
      <c r="C836" s="35"/>
      <c r="G836" s="49"/>
      <c r="H836" s="49"/>
      <c r="L836" s="49"/>
      <c r="M836" s="49"/>
    </row>
    <row r="837" spans="2:13" ht="13.2">
      <c r="B837" s="67"/>
      <c r="C837" s="35"/>
      <c r="G837" s="49"/>
      <c r="H837" s="49"/>
      <c r="L837" s="49"/>
      <c r="M837" s="49"/>
    </row>
    <row r="838" spans="2:13" ht="13.2">
      <c r="B838" s="67"/>
      <c r="C838" s="35"/>
      <c r="G838" s="49"/>
      <c r="H838" s="49"/>
      <c r="L838" s="49"/>
      <c r="M838" s="49"/>
    </row>
    <row r="839" spans="2:13" ht="13.2">
      <c r="B839" s="67"/>
      <c r="C839" s="35"/>
      <c r="G839" s="49"/>
      <c r="H839" s="49"/>
      <c r="L839" s="49"/>
      <c r="M839" s="49"/>
    </row>
    <row r="840" spans="2:13" ht="13.2">
      <c r="B840" s="67"/>
      <c r="C840" s="35"/>
      <c r="G840" s="49"/>
      <c r="H840" s="49"/>
      <c r="L840" s="49"/>
      <c r="M840" s="49"/>
    </row>
    <row r="841" spans="2:13" ht="13.2">
      <c r="B841" s="67"/>
      <c r="C841" s="35"/>
      <c r="G841" s="49"/>
      <c r="H841" s="49"/>
      <c r="L841" s="49"/>
      <c r="M841" s="49"/>
    </row>
    <row r="842" spans="2:13" ht="13.2">
      <c r="B842" s="67"/>
      <c r="C842" s="35"/>
      <c r="G842" s="49"/>
      <c r="H842" s="49"/>
      <c r="L842" s="49"/>
      <c r="M842" s="49"/>
    </row>
    <row r="843" spans="2:13" ht="13.2">
      <c r="B843" s="67"/>
      <c r="C843" s="35"/>
      <c r="G843" s="49"/>
      <c r="H843" s="49"/>
      <c r="L843" s="49"/>
      <c r="M843" s="49"/>
    </row>
    <row r="844" spans="2:13" ht="13.2">
      <c r="B844" s="67"/>
      <c r="C844" s="35"/>
      <c r="G844" s="49"/>
      <c r="H844" s="49"/>
      <c r="L844" s="49"/>
      <c r="M844" s="49"/>
    </row>
    <row r="845" spans="2:13" ht="13.2">
      <c r="B845" s="67"/>
      <c r="C845" s="35"/>
      <c r="G845" s="49"/>
      <c r="H845" s="49"/>
      <c r="L845" s="49"/>
      <c r="M845" s="49"/>
    </row>
    <row r="846" spans="2:13" ht="13.2">
      <c r="B846" s="67"/>
      <c r="C846" s="35"/>
      <c r="G846" s="49"/>
      <c r="H846" s="49"/>
      <c r="L846" s="49"/>
      <c r="M846" s="49"/>
    </row>
    <row r="847" spans="2:13" ht="13.2">
      <c r="B847" s="67"/>
      <c r="C847" s="35"/>
      <c r="G847" s="49"/>
      <c r="H847" s="49"/>
      <c r="L847" s="49"/>
      <c r="M847" s="49"/>
    </row>
    <row r="848" spans="2:13" ht="13.2">
      <c r="B848" s="67"/>
      <c r="C848" s="35"/>
      <c r="G848" s="49"/>
      <c r="H848" s="49"/>
      <c r="L848" s="49"/>
      <c r="M848" s="49"/>
    </row>
    <row r="849" spans="2:13" ht="13.2">
      <c r="B849" s="67"/>
      <c r="C849" s="35"/>
      <c r="G849" s="49"/>
      <c r="H849" s="49"/>
      <c r="L849" s="49"/>
      <c r="M849" s="49"/>
    </row>
    <row r="850" spans="2:13" ht="13.2">
      <c r="B850" s="67"/>
      <c r="C850" s="35"/>
      <c r="G850" s="49"/>
      <c r="H850" s="49"/>
      <c r="L850" s="49"/>
      <c r="M850" s="49"/>
    </row>
    <row r="851" spans="2:13" ht="13.2">
      <c r="B851" s="67"/>
      <c r="C851" s="35"/>
      <c r="G851" s="49"/>
      <c r="H851" s="49"/>
      <c r="L851" s="49"/>
      <c r="M851" s="49"/>
    </row>
    <row r="852" spans="2:13" ht="13.2">
      <c r="B852" s="67"/>
      <c r="C852" s="35"/>
      <c r="G852" s="49"/>
      <c r="H852" s="49"/>
      <c r="L852" s="49"/>
      <c r="M852" s="49"/>
    </row>
    <row r="853" spans="2:13" ht="13.2">
      <c r="B853" s="67"/>
      <c r="C853" s="35"/>
      <c r="G853" s="49"/>
      <c r="H853" s="49"/>
      <c r="L853" s="49"/>
      <c r="M853" s="49"/>
    </row>
    <row r="854" spans="2:13" ht="13.2">
      <c r="B854" s="67"/>
      <c r="C854" s="35"/>
      <c r="G854" s="49"/>
      <c r="H854" s="49"/>
      <c r="L854" s="49"/>
      <c r="M854" s="49"/>
    </row>
    <row r="855" spans="2:13" ht="13.2">
      <c r="B855" s="67"/>
      <c r="C855" s="35"/>
      <c r="G855" s="49"/>
      <c r="H855" s="49"/>
      <c r="L855" s="49"/>
      <c r="M855" s="49"/>
    </row>
    <row r="856" spans="2:13" ht="13.2">
      <c r="B856" s="67"/>
      <c r="C856" s="35"/>
      <c r="G856" s="49"/>
      <c r="H856" s="49"/>
      <c r="L856" s="49"/>
      <c r="M856" s="49"/>
    </row>
    <row r="857" spans="2:13" ht="13.2">
      <c r="B857" s="67"/>
      <c r="C857" s="35"/>
      <c r="G857" s="49"/>
      <c r="H857" s="49"/>
      <c r="L857" s="49"/>
      <c r="M857" s="49"/>
    </row>
    <row r="858" spans="2:13" ht="13.2">
      <c r="B858" s="67"/>
      <c r="C858" s="35"/>
      <c r="G858" s="49"/>
      <c r="H858" s="49"/>
      <c r="L858" s="49"/>
      <c r="M858" s="49"/>
    </row>
    <row r="859" spans="2:13" ht="13.2">
      <c r="B859" s="67"/>
      <c r="C859" s="35"/>
      <c r="G859" s="49"/>
      <c r="H859" s="49"/>
      <c r="L859" s="49"/>
      <c r="M859" s="49"/>
    </row>
    <row r="860" spans="2:13" ht="13.2">
      <c r="B860" s="67"/>
      <c r="C860" s="35"/>
      <c r="G860" s="49"/>
      <c r="H860" s="49"/>
      <c r="L860" s="49"/>
      <c r="M860" s="49"/>
    </row>
    <row r="861" spans="2:13" ht="13.2">
      <c r="B861" s="67"/>
      <c r="C861" s="35"/>
      <c r="G861" s="49"/>
      <c r="H861" s="49"/>
      <c r="L861" s="49"/>
      <c r="M861" s="49"/>
    </row>
    <row r="862" spans="2:13" ht="13.2">
      <c r="B862" s="67"/>
      <c r="C862" s="35"/>
      <c r="G862" s="49"/>
      <c r="H862" s="49"/>
      <c r="L862" s="49"/>
      <c r="M862" s="49"/>
    </row>
    <row r="863" spans="2:13" ht="13.2">
      <c r="B863" s="67"/>
      <c r="C863" s="35"/>
      <c r="G863" s="49"/>
      <c r="H863" s="49"/>
      <c r="L863" s="49"/>
      <c r="M863" s="49"/>
    </row>
    <row r="864" spans="2:13" ht="13.2">
      <c r="B864" s="67"/>
      <c r="C864" s="35"/>
      <c r="G864" s="49"/>
      <c r="H864" s="49"/>
      <c r="L864" s="49"/>
      <c r="M864" s="49"/>
    </row>
    <row r="865" spans="2:13" ht="13.2">
      <c r="B865" s="67"/>
      <c r="C865" s="35"/>
      <c r="G865" s="49"/>
      <c r="H865" s="49"/>
      <c r="L865" s="49"/>
      <c r="M865" s="49"/>
    </row>
    <row r="866" spans="2:13" ht="13.2">
      <c r="B866" s="67"/>
      <c r="C866" s="35"/>
      <c r="G866" s="49"/>
      <c r="H866" s="49"/>
      <c r="L866" s="49"/>
      <c r="M866" s="49"/>
    </row>
    <row r="867" spans="2:13" ht="13.2">
      <c r="B867" s="67"/>
      <c r="C867" s="35"/>
      <c r="G867" s="49"/>
      <c r="H867" s="49"/>
      <c r="L867" s="49"/>
      <c r="M867" s="49"/>
    </row>
    <row r="868" spans="2:13" ht="13.2">
      <c r="B868" s="67"/>
      <c r="C868" s="35"/>
      <c r="G868" s="49"/>
      <c r="H868" s="49"/>
      <c r="L868" s="49"/>
      <c r="M868" s="49"/>
    </row>
    <row r="869" spans="2:13" ht="13.2">
      <c r="B869" s="67"/>
      <c r="C869" s="35"/>
      <c r="G869" s="49"/>
      <c r="H869" s="49"/>
      <c r="L869" s="49"/>
      <c r="M869" s="49"/>
    </row>
    <row r="870" spans="2:13" ht="13.2">
      <c r="B870" s="67"/>
      <c r="C870" s="35"/>
      <c r="G870" s="49"/>
      <c r="H870" s="49"/>
      <c r="L870" s="49"/>
      <c r="M870" s="49"/>
    </row>
    <row r="871" spans="2:13" ht="13.2">
      <c r="B871" s="67"/>
      <c r="C871" s="35"/>
      <c r="G871" s="49"/>
      <c r="H871" s="49"/>
      <c r="L871" s="49"/>
      <c r="M871" s="49"/>
    </row>
    <row r="872" spans="2:13" ht="13.2">
      <c r="B872" s="67"/>
      <c r="C872" s="35"/>
      <c r="G872" s="49"/>
      <c r="H872" s="49"/>
      <c r="L872" s="49"/>
      <c r="M872" s="49"/>
    </row>
    <row r="873" spans="2:13" ht="13.2">
      <c r="B873" s="67"/>
      <c r="C873" s="35"/>
      <c r="G873" s="49"/>
      <c r="H873" s="49"/>
      <c r="L873" s="49"/>
      <c r="M873" s="49"/>
    </row>
    <row r="874" spans="2:13" ht="13.2">
      <c r="B874" s="67"/>
      <c r="C874" s="35"/>
      <c r="G874" s="49"/>
      <c r="H874" s="49"/>
      <c r="L874" s="49"/>
      <c r="M874" s="49"/>
    </row>
    <row r="875" spans="2:13" ht="13.2">
      <c r="B875" s="67"/>
      <c r="C875" s="35"/>
      <c r="G875" s="49"/>
      <c r="H875" s="49"/>
      <c r="L875" s="49"/>
      <c r="M875" s="49"/>
    </row>
    <row r="876" spans="2:13" ht="13.2">
      <c r="B876" s="67"/>
      <c r="C876" s="35"/>
      <c r="G876" s="49"/>
      <c r="H876" s="49"/>
      <c r="L876" s="49"/>
      <c r="M876" s="49"/>
    </row>
    <row r="877" spans="2:13" ht="13.2">
      <c r="B877" s="67"/>
      <c r="C877" s="35"/>
      <c r="G877" s="49"/>
      <c r="H877" s="49"/>
      <c r="L877" s="49"/>
      <c r="M877" s="49"/>
    </row>
    <row r="878" spans="2:13" ht="13.2">
      <c r="B878" s="67"/>
      <c r="C878" s="35"/>
      <c r="G878" s="49"/>
      <c r="H878" s="49"/>
      <c r="L878" s="49"/>
      <c r="M878" s="49"/>
    </row>
    <row r="879" spans="2:13" ht="13.2">
      <c r="B879" s="67"/>
      <c r="C879" s="35"/>
      <c r="G879" s="49"/>
      <c r="H879" s="49"/>
      <c r="L879" s="49"/>
      <c r="M879" s="49"/>
    </row>
    <row r="880" spans="2:13" ht="13.2">
      <c r="B880" s="67"/>
      <c r="C880" s="35"/>
      <c r="G880" s="49"/>
      <c r="H880" s="49"/>
      <c r="L880" s="49"/>
      <c r="M880" s="49"/>
    </row>
    <row r="881" spans="2:13" ht="13.2">
      <c r="B881" s="67"/>
      <c r="C881" s="35"/>
      <c r="G881" s="49"/>
      <c r="H881" s="49"/>
      <c r="L881" s="49"/>
      <c r="M881" s="49"/>
    </row>
    <row r="882" spans="2:13" ht="13.2">
      <c r="B882" s="67"/>
      <c r="C882" s="35"/>
      <c r="G882" s="49"/>
      <c r="H882" s="49"/>
      <c r="L882" s="49"/>
      <c r="M882" s="49"/>
    </row>
    <row r="883" spans="2:13" ht="13.2">
      <c r="B883" s="67"/>
      <c r="C883" s="35"/>
      <c r="G883" s="49"/>
      <c r="H883" s="49"/>
      <c r="L883" s="49"/>
      <c r="M883" s="49"/>
    </row>
    <row r="884" spans="2:13" ht="13.2">
      <c r="B884" s="67"/>
      <c r="C884" s="35"/>
      <c r="G884" s="49"/>
      <c r="H884" s="49"/>
      <c r="L884" s="49"/>
      <c r="M884" s="49"/>
    </row>
    <row r="885" spans="2:13" ht="13.2">
      <c r="B885" s="67"/>
      <c r="C885" s="35"/>
      <c r="G885" s="49"/>
      <c r="H885" s="49"/>
      <c r="L885" s="49"/>
      <c r="M885" s="49"/>
    </row>
    <row r="886" spans="2:13" ht="13.2">
      <c r="B886" s="67"/>
      <c r="C886" s="35"/>
      <c r="G886" s="49"/>
      <c r="H886" s="49"/>
      <c r="L886" s="49"/>
      <c r="M886" s="49"/>
    </row>
    <row r="887" spans="2:13" ht="13.2">
      <c r="B887" s="67"/>
      <c r="C887" s="35"/>
      <c r="G887" s="49"/>
      <c r="H887" s="49"/>
      <c r="L887" s="49"/>
      <c r="M887" s="49"/>
    </row>
    <row r="888" spans="2:13" ht="13.2">
      <c r="B888" s="67"/>
      <c r="C888" s="35"/>
      <c r="G888" s="49"/>
      <c r="H888" s="49"/>
      <c r="L888" s="49"/>
      <c r="M888" s="49"/>
    </row>
    <row r="889" spans="2:13" ht="13.2">
      <c r="B889" s="67"/>
      <c r="C889" s="35"/>
      <c r="G889" s="49"/>
      <c r="H889" s="49"/>
      <c r="L889" s="49"/>
      <c r="M889" s="49"/>
    </row>
    <row r="890" spans="2:13" ht="13.2">
      <c r="B890" s="67"/>
      <c r="C890" s="35"/>
      <c r="G890" s="49"/>
      <c r="H890" s="49"/>
      <c r="L890" s="49"/>
      <c r="M890" s="49"/>
    </row>
    <row r="891" spans="2:13" ht="13.2">
      <c r="B891" s="67"/>
      <c r="C891" s="35"/>
      <c r="G891" s="49"/>
      <c r="H891" s="49"/>
      <c r="L891" s="49"/>
      <c r="M891" s="49"/>
    </row>
    <row r="892" spans="2:13" ht="13.2">
      <c r="B892" s="67"/>
      <c r="C892" s="35"/>
      <c r="G892" s="49"/>
      <c r="H892" s="49"/>
      <c r="L892" s="49"/>
      <c r="M892" s="49"/>
    </row>
    <row r="893" spans="2:13" ht="13.2">
      <c r="B893" s="67"/>
      <c r="C893" s="35"/>
      <c r="G893" s="49"/>
      <c r="H893" s="49"/>
      <c r="L893" s="49"/>
      <c r="M893" s="49"/>
    </row>
    <row r="894" spans="2:13" ht="13.2">
      <c r="B894" s="67"/>
      <c r="C894" s="35"/>
      <c r="G894" s="49"/>
      <c r="H894" s="49"/>
      <c r="L894" s="49"/>
      <c r="M894" s="49"/>
    </row>
    <row r="895" spans="2:13" ht="13.2">
      <c r="B895" s="67"/>
      <c r="C895" s="35"/>
      <c r="G895" s="49"/>
      <c r="H895" s="49"/>
      <c r="L895" s="49"/>
      <c r="M895" s="49"/>
    </row>
    <row r="896" spans="2:13" ht="13.2">
      <c r="B896" s="67"/>
      <c r="C896" s="35"/>
      <c r="G896" s="49"/>
      <c r="H896" s="49"/>
      <c r="L896" s="49"/>
      <c r="M896" s="49"/>
    </row>
    <row r="897" spans="2:13" ht="13.2">
      <c r="B897" s="67"/>
      <c r="C897" s="35"/>
      <c r="G897" s="49"/>
      <c r="H897" s="49"/>
      <c r="L897" s="49"/>
      <c r="M897" s="49"/>
    </row>
    <row r="898" spans="2:13" ht="13.2">
      <c r="B898" s="67"/>
      <c r="C898" s="35"/>
      <c r="G898" s="49"/>
      <c r="H898" s="49"/>
      <c r="L898" s="49"/>
      <c r="M898" s="49"/>
    </row>
    <row r="899" spans="2:13" ht="13.2">
      <c r="B899" s="67"/>
      <c r="C899" s="35"/>
      <c r="G899" s="49"/>
      <c r="H899" s="49"/>
      <c r="L899" s="49"/>
      <c r="M899" s="49"/>
    </row>
    <row r="900" spans="2:13" ht="13.2">
      <c r="B900" s="67"/>
      <c r="C900" s="35"/>
      <c r="G900" s="49"/>
      <c r="H900" s="49"/>
      <c r="L900" s="49"/>
      <c r="M900" s="49"/>
    </row>
    <row r="901" spans="2:13" ht="13.2">
      <c r="B901" s="67"/>
      <c r="C901" s="35"/>
      <c r="G901" s="49"/>
      <c r="H901" s="49"/>
      <c r="L901" s="49"/>
      <c r="M901" s="49"/>
    </row>
    <row r="902" spans="2:13" ht="13.2">
      <c r="B902" s="67"/>
      <c r="C902" s="35"/>
      <c r="G902" s="49"/>
      <c r="H902" s="49"/>
      <c r="L902" s="49"/>
      <c r="M902" s="49"/>
    </row>
    <row r="903" spans="2:13" ht="13.2">
      <c r="B903" s="67"/>
      <c r="C903" s="35"/>
      <c r="G903" s="49"/>
      <c r="H903" s="49"/>
      <c r="L903" s="49"/>
      <c r="M903" s="49"/>
    </row>
    <row r="904" spans="2:13" ht="13.2">
      <c r="B904" s="67"/>
      <c r="C904" s="35"/>
      <c r="G904" s="49"/>
      <c r="H904" s="49"/>
      <c r="L904" s="49"/>
      <c r="M904" s="49"/>
    </row>
    <row r="905" spans="2:13" ht="13.2">
      <c r="B905" s="67"/>
      <c r="C905" s="35"/>
      <c r="G905" s="49"/>
      <c r="H905" s="49"/>
      <c r="L905" s="49"/>
      <c r="M905" s="49"/>
    </row>
    <row r="906" spans="2:13" ht="13.2">
      <c r="B906" s="67"/>
      <c r="C906" s="35"/>
      <c r="G906" s="49"/>
      <c r="H906" s="49"/>
      <c r="L906" s="49"/>
      <c r="M906" s="49"/>
    </row>
    <row r="907" spans="2:13" ht="13.2">
      <c r="B907" s="67"/>
      <c r="C907" s="35"/>
      <c r="G907" s="49"/>
      <c r="H907" s="49"/>
      <c r="L907" s="49"/>
      <c r="M907" s="49"/>
    </row>
    <row r="908" spans="2:13" ht="13.2">
      <c r="B908" s="67"/>
      <c r="C908" s="35"/>
      <c r="G908" s="49"/>
      <c r="H908" s="49"/>
      <c r="L908" s="49"/>
      <c r="M908" s="49"/>
    </row>
    <row r="909" spans="2:13" ht="13.2">
      <c r="B909" s="67"/>
      <c r="C909" s="35"/>
      <c r="G909" s="49"/>
      <c r="H909" s="49"/>
      <c r="L909" s="49"/>
      <c r="M909" s="49"/>
    </row>
    <row r="910" spans="2:13" ht="13.2">
      <c r="B910" s="67"/>
      <c r="C910" s="35"/>
      <c r="G910" s="49"/>
      <c r="H910" s="49"/>
      <c r="L910" s="49"/>
      <c r="M910" s="49"/>
    </row>
    <row r="911" spans="2:13" ht="13.2">
      <c r="B911" s="67"/>
      <c r="C911" s="35"/>
      <c r="G911" s="49"/>
      <c r="H911" s="49"/>
      <c r="L911" s="49"/>
      <c r="M911" s="49"/>
    </row>
    <row r="912" spans="2:13" ht="13.2">
      <c r="B912" s="67"/>
      <c r="C912" s="35"/>
      <c r="G912" s="49"/>
      <c r="H912" s="49"/>
      <c r="L912" s="49"/>
      <c r="M912" s="49"/>
    </row>
    <row r="913" spans="2:13" ht="13.2">
      <c r="B913" s="67"/>
      <c r="C913" s="35"/>
      <c r="G913" s="49"/>
      <c r="H913" s="49"/>
      <c r="L913" s="49"/>
      <c r="M913" s="49"/>
    </row>
    <row r="914" spans="2:13" ht="13.2">
      <c r="B914" s="67"/>
      <c r="C914" s="35"/>
      <c r="G914" s="49"/>
      <c r="H914" s="49"/>
      <c r="L914" s="49"/>
      <c r="M914" s="49"/>
    </row>
    <row r="915" spans="2:13" ht="13.2">
      <c r="B915" s="67"/>
      <c r="C915" s="35"/>
      <c r="G915" s="49"/>
      <c r="H915" s="49"/>
      <c r="L915" s="49"/>
      <c r="M915" s="49"/>
    </row>
    <row r="916" spans="2:13" ht="13.2">
      <c r="B916" s="67"/>
      <c r="C916" s="35"/>
      <c r="G916" s="49"/>
      <c r="H916" s="49"/>
      <c r="L916" s="49"/>
      <c r="M916" s="49"/>
    </row>
    <row r="917" spans="2:13" ht="13.2">
      <c r="B917" s="67"/>
      <c r="C917" s="35"/>
      <c r="G917" s="49"/>
      <c r="H917" s="49"/>
      <c r="L917" s="49"/>
      <c r="M917" s="49"/>
    </row>
    <row r="918" spans="2:13" ht="13.2">
      <c r="B918" s="67"/>
      <c r="C918" s="35"/>
      <c r="G918" s="49"/>
      <c r="H918" s="49"/>
      <c r="L918" s="49"/>
      <c r="M918" s="49"/>
    </row>
    <row r="919" spans="2:13" ht="13.2">
      <c r="B919" s="67"/>
      <c r="C919" s="35"/>
      <c r="G919" s="49"/>
      <c r="H919" s="49"/>
      <c r="L919" s="49"/>
      <c r="M919" s="49"/>
    </row>
    <row r="920" spans="2:13" ht="13.2">
      <c r="B920" s="67"/>
      <c r="C920" s="35"/>
      <c r="G920" s="49"/>
      <c r="H920" s="49"/>
      <c r="L920" s="49"/>
      <c r="M920" s="49"/>
    </row>
    <row r="921" spans="2:13" ht="13.2">
      <c r="B921" s="67"/>
      <c r="C921" s="35"/>
      <c r="G921" s="49"/>
      <c r="H921" s="49"/>
      <c r="L921" s="49"/>
      <c r="M921" s="49"/>
    </row>
    <row r="922" spans="2:13" ht="13.2">
      <c r="B922" s="67"/>
      <c r="C922" s="35"/>
      <c r="G922" s="49"/>
      <c r="H922" s="49"/>
      <c r="L922" s="49"/>
      <c r="M922" s="49"/>
    </row>
    <row r="923" spans="2:13" ht="13.2">
      <c r="B923" s="67"/>
      <c r="C923" s="35"/>
      <c r="G923" s="49"/>
      <c r="H923" s="49"/>
      <c r="L923" s="49"/>
      <c r="M923" s="49"/>
    </row>
    <row r="924" spans="2:13" ht="13.2">
      <c r="B924" s="67"/>
      <c r="C924" s="35"/>
      <c r="G924" s="49"/>
      <c r="H924" s="49"/>
      <c r="L924" s="49"/>
      <c r="M924" s="49"/>
    </row>
    <row r="925" spans="2:13" ht="13.2">
      <c r="B925" s="67"/>
      <c r="C925" s="35"/>
      <c r="G925" s="49"/>
      <c r="H925" s="49"/>
      <c r="L925" s="49"/>
      <c r="M925" s="49"/>
    </row>
    <row r="926" spans="2:13" ht="13.2">
      <c r="B926" s="67"/>
      <c r="C926" s="35"/>
      <c r="G926" s="49"/>
      <c r="H926" s="49"/>
      <c r="L926" s="49"/>
      <c r="M926" s="49"/>
    </row>
    <row r="927" spans="2:13" ht="13.2">
      <c r="B927" s="67"/>
      <c r="C927" s="35"/>
      <c r="G927" s="49"/>
      <c r="H927" s="49"/>
      <c r="L927" s="49"/>
      <c r="M927" s="49"/>
    </row>
    <row r="928" spans="2:13" ht="13.2">
      <c r="B928" s="67"/>
      <c r="C928" s="35"/>
      <c r="G928" s="49"/>
      <c r="H928" s="49"/>
      <c r="L928" s="49"/>
      <c r="M928" s="49"/>
    </row>
    <row r="929" spans="2:13" ht="13.2">
      <c r="B929" s="67"/>
      <c r="C929" s="35"/>
      <c r="G929" s="49"/>
      <c r="H929" s="49"/>
      <c r="L929" s="49"/>
      <c r="M929" s="49"/>
    </row>
    <row r="930" spans="2:13" ht="13.2">
      <c r="B930" s="67"/>
      <c r="C930" s="35"/>
      <c r="G930" s="49"/>
      <c r="H930" s="49"/>
      <c r="L930" s="49"/>
      <c r="M930" s="49"/>
    </row>
    <row r="931" spans="2:13" ht="13.2">
      <c r="B931" s="67"/>
      <c r="C931" s="35"/>
      <c r="G931" s="49"/>
      <c r="H931" s="49"/>
      <c r="L931" s="49"/>
      <c r="M931" s="49"/>
    </row>
    <row r="932" spans="2:13" ht="13.2">
      <c r="B932" s="67"/>
      <c r="C932" s="35"/>
      <c r="G932" s="49"/>
      <c r="H932" s="49"/>
      <c r="L932" s="49"/>
      <c r="M932" s="49"/>
    </row>
    <row r="933" spans="2:13" ht="13.2">
      <c r="B933" s="67"/>
      <c r="C933" s="35"/>
      <c r="G933" s="49"/>
      <c r="H933" s="49"/>
      <c r="L933" s="49"/>
      <c r="M933" s="49"/>
    </row>
    <row r="934" spans="2:13" ht="13.2">
      <c r="B934" s="67"/>
      <c r="C934" s="35"/>
      <c r="G934" s="49"/>
      <c r="H934" s="49"/>
      <c r="L934" s="49"/>
      <c r="M934" s="49"/>
    </row>
    <row r="935" spans="2:13" ht="13.2">
      <c r="B935" s="67"/>
      <c r="C935" s="35"/>
      <c r="G935" s="49"/>
      <c r="H935" s="49"/>
      <c r="L935" s="49"/>
      <c r="M935" s="49"/>
    </row>
    <row r="936" spans="2:13" ht="13.2">
      <c r="B936" s="67"/>
      <c r="C936" s="35"/>
      <c r="G936" s="49"/>
      <c r="H936" s="49"/>
      <c r="L936" s="49"/>
      <c r="M936" s="49"/>
    </row>
    <row r="937" spans="2:13" ht="13.2">
      <c r="B937" s="67"/>
      <c r="C937" s="35"/>
      <c r="G937" s="49"/>
      <c r="H937" s="49"/>
      <c r="L937" s="49"/>
      <c r="M937" s="49"/>
    </row>
    <row r="938" spans="2:13" ht="13.2">
      <c r="B938" s="67"/>
      <c r="C938" s="35"/>
      <c r="G938" s="49"/>
      <c r="H938" s="49"/>
      <c r="L938" s="49"/>
      <c r="M938" s="49"/>
    </row>
    <row r="939" spans="2:13" ht="13.2">
      <c r="B939" s="67"/>
      <c r="C939" s="35"/>
      <c r="G939" s="49"/>
      <c r="H939" s="49"/>
      <c r="L939" s="49"/>
      <c r="M939" s="49"/>
    </row>
    <row r="940" spans="2:13" ht="13.2">
      <c r="B940" s="67"/>
      <c r="C940" s="35"/>
      <c r="G940" s="49"/>
      <c r="H940" s="49"/>
      <c r="L940" s="49"/>
      <c r="M940" s="49"/>
    </row>
    <row r="941" spans="2:13" ht="13.2">
      <c r="B941" s="67"/>
      <c r="C941" s="35"/>
      <c r="G941" s="49"/>
      <c r="H941" s="49"/>
      <c r="L941" s="49"/>
      <c r="M941" s="49"/>
    </row>
    <row r="942" spans="2:13" ht="13.2">
      <c r="B942" s="67"/>
      <c r="C942" s="35"/>
      <c r="G942" s="49"/>
      <c r="H942" s="49"/>
      <c r="L942" s="49"/>
      <c r="M942" s="49"/>
    </row>
    <row r="943" spans="2:13" ht="13.2">
      <c r="B943" s="67"/>
      <c r="C943" s="35"/>
      <c r="G943" s="49"/>
      <c r="H943" s="49"/>
      <c r="L943" s="49"/>
      <c r="M943" s="49"/>
    </row>
    <row r="944" spans="2:13" ht="13.2">
      <c r="B944" s="67"/>
      <c r="C944" s="35"/>
      <c r="G944" s="49"/>
      <c r="H944" s="49"/>
      <c r="L944" s="49"/>
      <c r="M944" s="49"/>
    </row>
    <row r="945" spans="2:13" ht="13.2">
      <c r="B945" s="67"/>
      <c r="C945" s="35"/>
      <c r="G945" s="49"/>
      <c r="H945" s="49"/>
      <c r="L945" s="49"/>
      <c r="M945" s="49"/>
    </row>
    <row r="946" spans="2:13" ht="13.2">
      <c r="B946" s="67"/>
      <c r="C946" s="35"/>
      <c r="G946" s="49"/>
      <c r="H946" s="49"/>
      <c r="L946" s="49"/>
      <c r="M946" s="49"/>
    </row>
    <row r="947" spans="2:13" ht="13.2">
      <c r="B947" s="67"/>
      <c r="C947" s="35"/>
      <c r="G947" s="49"/>
      <c r="H947" s="49"/>
      <c r="L947" s="49"/>
      <c r="M947" s="49"/>
    </row>
    <row r="948" spans="2:13" ht="13.2">
      <c r="B948" s="67"/>
      <c r="C948" s="35"/>
      <c r="G948" s="49"/>
      <c r="H948" s="49"/>
      <c r="L948" s="49"/>
      <c r="M948" s="49"/>
    </row>
    <row r="949" spans="2:13" ht="13.2">
      <c r="B949" s="67"/>
      <c r="C949" s="35"/>
      <c r="G949" s="49"/>
      <c r="H949" s="49"/>
      <c r="L949" s="49"/>
      <c r="M949" s="49"/>
    </row>
    <row r="950" spans="2:13" ht="13.2">
      <c r="B950" s="67"/>
      <c r="C950" s="35"/>
      <c r="G950" s="49"/>
      <c r="H950" s="49"/>
      <c r="L950" s="49"/>
      <c r="M950" s="49"/>
    </row>
    <row r="951" spans="2:13" ht="13.2">
      <c r="B951" s="67"/>
      <c r="C951" s="35"/>
      <c r="G951" s="49"/>
      <c r="H951" s="49"/>
      <c r="L951" s="49"/>
      <c r="M951" s="49"/>
    </row>
    <row r="952" spans="2:13" ht="13.2">
      <c r="B952" s="67"/>
      <c r="C952" s="35"/>
      <c r="G952" s="49"/>
      <c r="H952" s="49"/>
      <c r="L952" s="49"/>
      <c r="M952" s="49"/>
    </row>
    <row r="953" spans="2:13" ht="13.2">
      <c r="B953" s="67"/>
      <c r="C953" s="35"/>
      <c r="G953" s="49"/>
      <c r="H953" s="49"/>
      <c r="L953" s="49"/>
      <c r="M953" s="49"/>
    </row>
    <row r="954" spans="2:13" ht="13.2">
      <c r="B954" s="67"/>
      <c r="C954" s="35"/>
      <c r="G954" s="49"/>
      <c r="H954" s="49"/>
      <c r="L954" s="49"/>
      <c r="M954" s="49"/>
    </row>
    <row r="955" spans="2:13" ht="13.2">
      <c r="B955" s="67"/>
      <c r="C955" s="35"/>
      <c r="G955" s="49"/>
      <c r="H955" s="49"/>
      <c r="L955" s="49"/>
      <c r="M955" s="49"/>
    </row>
    <row r="956" spans="2:13" ht="13.2">
      <c r="B956" s="67"/>
      <c r="C956" s="35"/>
      <c r="G956" s="49"/>
      <c r="H956" s="49"/>
      <c r="L956" s="49"/>
      <c r="M956" s="49"/>
    </row>
    <row r="957" spans="2:13" ht="13.2">
      <c r="B957" s="67"/>
      <c r="C957" s="35"/>
      <c r="G957" s="49"/>
      <c r="H957" s="49"/>
      <c r="L957" s="49"/>
      <c r="M957" s="49"/>
    </row>
    <row r="958" spans="2:13" ht="13.2">
      <c r="B958" s="67"/>
      <c r="C958" s="35"/>
      <c r="G958" s="49"/>
      <c r="H958" s="49"/>
      <c r="L958" s="49"/>
      <c r="M958" s="49"/>
    </row>
    <row r="959" spans="2:13" ht="13.2">
      <c r="B959" s="67"/>
      <c r="C959" s="35"/>
      <c r="G959" s="49"/>
      <c r="H959" s="49"/>
      <c r="L959" s="49"/>
      <c r="M959" s="49"/>
    </row>
    <row r="960" spans="2:13" ht="13.2">
      <c r="B960" s="67"/>
      <c r="C960" s="35"/>
      <c r="G960" s="49"/>
      <c r="H960" s="49"/>
      <c r="L960" s="49"/>
      <c r="M960" s="49"/>
    </row>
    <row r="961" spans="2:13" ht="13.2">
      <c r="B961" s="67"/>
      <c r="C961" s="35"/>
      <c r="G961" s="49"/>
      <c r="H961" s="49"/>
      <c r="L961" s="49"/>
      <c r="M961" s="49"/>
    </row>
    <row r="962" spans="2:13" ht="13.2">
      <c r="B962" s="67"/>
      <c r="C962" s="35"/>
      <c r="G962" s="49"/>
      <c r="H962" s="49"/>
      <c r="L962" s="49"/>
      <c r="M962" s="49"/>
    </row>
    <row r="963" spans="2:13" ht="13.2">
      <c r="B963" s="67"/>
      <c r="C963" s="35"/>
      <c r="G963" s="49"/>
      <c r="H963" s="49"/>
      <c r="L963" s="49"/>
      <c r="M963" s="49"/>
    </row>
    <row r="964" spans="2:13" ht="13.2">
      <c r="B964" s="67"/>
      <c r="C964" s="35"/>
      <c r="G964" s="49"/>
      <c r="H964" s="49"/>
      <c r="L964" s="49"/>
      <c r="M964" s="49"/>
    </row>
    <row r="965" spans="2:13" ht="13.2">
      <c r="B965" s="67"/>
      <c r="C965" s="35"/>
      <c r="G965" s="49"/>
      <c r="H965" s="49"/>
      <c r="L965" s="49"/>
      <c r="M965" s="49"/>
    </row>
    <row r="966" spans="2:13" ht="13.2">
      <c r="B966" s="67"/>
      <c r="C966" s="35"/>
      <c r="G966" s="49"/>
      <c r="H966" s="49"/>
      <c r="L966" s="49"/>
      <c r="M966" s="49"/>
    </row>
    <row r="967" spans="2:13" ht="13.2">
      <c r="B967" s="67"/>
      <c r="C967" s="35"/>
      <c r="G967" s="49"/>
      <c r="H967" s="49"/>
      <c r="L967" s="49"/>
      <c r="M967" s="49"/>
    </row>
    <row r="968" spans="2:13" ht="13.2">
      <c r="B968" s="67"/>
      <c r="C968" s="35"/>
      <c r="G968" s="49"/>
      <c r="H968" s="49"/>
      <c r="L968" s="49"/>
      <c r="M968" s="49"/>
    </row>
    <row r="969" spans="2:13" ht="13.2">
      <c r="B969" s="67"/>
      <c r="C969" s="35"/>
      <c r="G969" s="49"/>
      <c r="H969" s="49"/>
      <c r="L969" s="49"/>
      <c r="M969" s="49"/>
    </row>
    <row r="970" spans="2:13" ht="13.2">
      <c r="B970" s="67"/>
      <c r="C970" s="35"/>
      <c r="G970" s="49"/>
      <c r="H970" s="49"/>
      <c r="L970" s="49"/>
      <c r="M970" s="49"/>
    </row>
    <row r="971" spans="2:13" ht="13.2">
      <c r="B971" s="67"/>
      <c r="C971" s="35"/>
      <c r="G971" s="49"/>
      <c r="H971" s="49"/>
      <c r="L971" s="49"/>
      <c r="M971" s="49"/>
    </row>
    <row r="972" spans="2:13" ht="13.2">
      <c r="B972" s="67"/>
      <c r="C972" s="35"/>
      <c r="G972" s="49"/>
      <c r="H972" s="49"/>
      <c r="L972" s="49"/>
      <c r="M972" s="49"/>
    </row>
    <row r="973" spans="2:13" ht="13.2">
      <c r="B973" s="67"/>
      <c r="C973" s="35"/>
      <c r="G973" s="49"/>
      <c r="H973" s="49"/>
      <c r="L973" s="49"/>
      <c r="M973" s="49"/>
    </row>
    <row r="974" spans="2:13" ht="13.2">
      <c r="B974" s="67"/>
      <c r="C974" s="35"/>
      <c r="G974" s="49"/>
      <c r="H974" s="49"/>
      <c r="L974" s="49"/>
      <c r="M974" s="49"/>
    </row>
    <row r="975" spans="2:13" ht="13.2">
      <c r="B975" s="67"/>
      <c r="C975" s="35"/>
      <c r="G975" s="49"/>
      <c r="H975" s="49"/>
      <c r="L975" s="49"/>
      <c r="M975" s="49"/>
    </row>
    <row r="976" spans="2:13" ht="13.2">
      <c r="B976" s="67"/>
      <c r="C976" s="35"/>
      <c r="G976" s="49"/>
      <c r="H976" s="49"/>
      <c r="L976" s="49"/>
      <c r="M976" s="49"/>
    </row>
    <row r="977" spans="2:13" ht="13.2">
      <c r="B977" s="67"/>
      <c r="C977" s="35"/>
      <c r="G977" s="49"/>
      <c r="H977" s="49"/>
      <c r="L977" s="49"/>
      <c r="M977" s="49"/>
    </row>
    <row r="978" spans="2:13" ht="13.2">
      <c r="B978" s="67"/>
      <c r="C978" s="35"/>
      <c r="G978" s="49"/>
      <c r="H978" s="49"/>
      <c r="L978" s="49"/>
      <c r="M978" s="49"/>
    </row>
    <row r="979" spans="2:13" ht="13.2">
      <c r="B979" s="67"/>
      <c r="C979" s="35"/>
      <c r="G979" s="49"/>
      <c r="H979" s="49"/>
      <c r="L979" s="49"/>
      <c r="M979" s="49"/>
    </row>
    <row r="980" spans="2:13" ht="13.2">
      <c r="B980" s="67"/>
      <c r="C980" s="35"/>
      <c r="G980" s="49"/>
      <c r="H980" s="49"/>
      <c r="L980" s="49"/>
      <c r="M980" s="49"/>
    </row>
    <row r="981" spans="2:13" ht="13.2">
      <c r="B981" s="67"/>
      <c r="C981" s="35"/>
      <c r="G981" s="49"/>
      <c r="H981" s="49"/>
      <c r="L981" s="49"/>
      <c r="M981" s="49"/>
    </row>
    <row r="982" spans="2:13" ht="13.2">
      <c r="B982" s="67"/>
      <c r="C982" s="35"/>
      <c r="G982" s="49"/>
      <c r="H982" s="49"/>
      <c r="L982" s="49"/>
      <c r="M982" s="49"/>
    </row>
    <row r="983" spans="2:13" ht="13.2">
      <c r="B983" s="67"/>
      <c r="C983" s="35"/>
      <c r="G983" s="49"/>
      <c r="H983" s="49"/>
      <c r="L983" s="49"/>
      <c r="M983" s="49"/>
    </row>
    <row r="984" spans="2:13" ht="13.2">
      <c r="B984" s="67"/>
      <c r="C984" s="35"/>
      <c r="G984" s="49"/>
      <c r="H984" s="49"/>
      <c r="L984" s="49"/>
      <c r="M984" s="49"/>
    </row>
    <row r="985" spans="2:13" ht="13.2">
      <c r="B985" s="67"/>
      <c r="C985" s="35"/>
      <c r="G985" s="49"/>
      <c r="H985" s="49"/>
      <c r="L985" s="49"/>
      <c r="M985" s="49"/>
    </row>
    <row r="986" spans="2:13" ht="13.2">
      <c r="B986" s="67"/>
      <c r="C986" s="35"/>
      <c r="G986" s="49"/>
      <c r="H986" s="49"/>
      <c r="L986" s="49"/>
      <c r="M986" s="49"/>
    </row>
    <row r="987" spans="2:13" ht="13.2">
      <c r="B987" s="67"/>
      <c r="C987" s="35"/>
      <c r="G987" s="49"/>
      <c r="H987" s="49"/>
      <c r="L987" s="49"/>
      <c r="M987" s="49"/>
    </row>
    <row r="988" spans="2:13" ht="13.2">
      <c r="B988" s="67"/>
      <c r="C988" s="35"/>
      <c r="G988" s="49"/>
      <c r="H988" s="49"/>
      <c r="L988" s="49"/>
      <c r="M988" s="49"/>
    </row>
    <row r="989" spans="2:13" ht="13.2">
      <c r="B989" s="67"/>
      <c r="C989" s="35"/>
      <c r="G989" s="49"/>
      <c r="H989" s="49"/>
      <c r="L989" s="49"/>
      <c r="M989" s="49"/>
    </row>
    <row r="990" spans="2:13" ht="13.2">
      <c r="B990" s="67"/>
      <c r="C990" s="35"/>
      <c r="G990" s="49"/>
      <c r="H990" s="49"/>
      <c r="L990" s="49"/>
      <c r="M990" s="49"/>
    </row>
    <row r="991" spans="2:13" ht="13.2">
      <c r="B991" s="67"/>
      <c r="C991" s="35"/>
      <c r="G991" s="49"/>
      <c r="H991" s="49"/>
      <c r="L991" s="49"/>
      <c r="M991" s="49"/>
    </row>
    <row r="992" spans="2:13" ht="13.2">
      <c r="B992" s="67"/>
      <c r="C992" s="35"/>
      <c r="G992" s="49"/>
      <c r="H992" s="49"/>
      <c r="L992" s="49"/>
      <c r="M992" s="49"/>
    </row>
    <row r="993" spans="2:13" ht="13.2">
      <c r="B993" s="67"/>
      <c r="C993" s="35"/>
      <c r="G993" s="49"/>
      <c r="H993" s="49"/>
      <c r="L993" s="49"/>
      <c r="M993" s="49"/>
    </row>
    <row r="994" spans="2:13" ht="13.2">
      <c r="B994" s="67"/>
      <c r="C994" s="35"/>
      <c r="G994" s="49"/>
      <c r="H994" s="49"/>
      <c r="L994" s="49"/>
      <c r="M994" s="49"/>
    </row>
    <row r="995" spans="2:13" ht="13.2">
      <c r="B995" s="67"/>
      <c r="C995" s="35"/>
      <c r="G995" s="49"/>
      <c r="H995" s="49"/>
      <c r="L995" s="49"/>
      <c r="M995" s="49"/>
    </row>
    <row r="996" spans="2:13" ht="13.2">
      <c r="B996" s="67"/>
      <c r="C996" s="35"/>
      <c r="G996" s="49"/>
      <c r="H996" s="49"/>
      <c r="L996" s="49"/>
      <c r="M996" s="49"/>
    </row>
    <row r="997" spans="2:13" ht="13.2">
      <c r="B997" s="67"/>
      <c r="C997" s="35"/>
      <c r="G997" s="49"/>
      <c r="H997" s="49"/>
      <c r="L997" s="49"/>
      <c r="M997" s="49"/>
    </row>
    <row r="998" spans="2:13" ht="13.2">
      <c r="B998" s="67"/>
      <c r="C998" s="35"/>
      <c r="G998" s="49"/>
      <c r="H998" s="49"/>
      <c r="L998" s="49"/>
      <c r="M998" s="49"/>
    </row>
    <row r="999" spans="2:13" ht="13.2">
      <c r="B999" s="67"/>
      <c r="C999" s="35"/>
      <c r="G999" s="49"/>
      <c r="H999" s="49"/>
      <c r="L999" s="49"/>
      <c r="M999" s="49"/>
    </row>
    <row r="1000" spans="2:13" ht="13.2">
      <c r="B1000" s="67"/>
      <c r="C1000" s="35"/>
      <c r="G1000" s="49"/>
      <c r="H1000" s="49"/>
      <c r="L1000" s="49"/>
      <c r="M1000" s="49"/>
    </row>
    <row r="1001" spans="2:13" ht="13.2">
      <c r="B1001" s="67"/>
      <c r="C1001" s="35"/>
      <c r="G1001" s="49"/>
      <c r="H1001" s="49"/>
      <c r="L1001" s="49"/>
      <c r="M1001" s="49"/>
    </row>
  </sheetData>
  <mergeCells count="6">
    <mergeCell ref="I2:M2"/>
    <mergeCell ref="A1:H1"/>
    <mergeCell ref="A2:A4"/>
    <mergeCell ref="B2:B4"/>
    <mergeCell ref="C2:C4"/>
    <mergeCell ref="D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68"/>
  <sheetViews>
    <sheetView workbookViewId="0">
      <selection sqref="A1:H1"/>
    </sheetView>
  </sheetViews>
  <sheetFormatPr defaultColWidth="12.6640625" defaultRowHeight="15.75" customHeight="1"/>
  <sheetData>
    <row r="1" spans="1:8" ht="15.75" customHeight="1">
      <c r="A1" s="93" t="s">
        <v>88</v>
      </c>
      <c r="B1" s="87"/>
      <c r="C1" s="87"/>
      <c r="D1" s="87"/>
      <c r="E1" s="87"/>
      <c r="F1" s="87"/>
      <c r="G1" s="87"/>
      <c r="H1" s="87"/>
    </row>
    <row r="2" spans="1:8" ht="15.75" customHeight="1">
      <c r="A2" s="94" t="s">
        <v>94</v>
      </c>
      <c r="B2" s="97" t="s">
        <v>95</v>
      </c>
      <c r="C2" s="98" t="s">
        <v>96</v>
      </c>
      <c r="D2" s="103" t="s">
        <v>118</v>
      </c>
      <c r="E2" s="100"/>
      <c r="F2" s="100"/>
      <c r="G2" s="100"/>
      <c r="H2" s="101"/>
    </row>
    <row r="3" spans="1:8" ht="15.75" customHeight="1">
      <c r="A3" s="95"/>
      <c r="B3" s="95"/>
      <c r="C3" s="95"/>
      <c r="D3" s="68">
        <v>45778</v>
      </c>
      <c r="E3" s="69" t="s">
        <v>99</v>
      </c>
      <c r="F3" s="69" t="s">
        <v>100</v>
      </c>
      <c r="G3" s="70" t="s">
        <v>101</v>
      </c>
      <c r="H3" s="70" t="s">
        <v>102</v>
      </c>
    </row>
    <row r="4" spans="1:8" ht="15.75" customHeight="1">
      <c r="A4" s="96"/>
      <c r="B4" s="96"/>
      <c r="C4" s="96"/>
      <c r="D4" s="69" t="s">
        <v>104</v>
      </c>
      <c r="E4" s="69" t="s">
        <v>104</v>
      </c>
      <c r="F4" s="69" t="s">
        <v>105</v>
      </c>
      <c r="G4" s="70" t="s">
        <v>106</v>
      </c>
      <c r="H4" s="70" t="s">
        <v>119</v>
      </c>
    </row>
    <row r="5" spans="1:8" ht="15.75" customHeight="1">
      <c r="A5" s="44">
        <v>1</v>
      </c>
      <c r="B5" s="11" t="s">
        <v>9</v>
      </c>
      <c r="C5" s="45" t="s">
        <v>10</v>
      </c>
      <c r="D5" s="47">
        <v>11897</v>
      </c>
      <c r="E5" s="47">
        <v>7287</v>
      </c>
      <c r="F5" s="47">
        <f t="shared" ref="F5:F68" si="0">E5-D5</f>
        <v>-4610</v>
      </c>
      <c r="G5" s="47">
        <f t="shared" ref="G5:G68" si="1">F5/D5%</f>
        <v>-38.749264520467342</v>
      </c>
      <c r="H5" s="48">
        <f t="shared" ref="H5:H68" si="2">MIN(10,MAX(0,G5*1/10))</f>
        <v>0</v>
      </c>
    </row>
    <row r="6" spans="1:8" ht="15.75" customHeight="1">
      <c r="A6" s="44">
        <v>2</v>
      </c>
      <c r="B6" s="11" t="s">
        <v>9</v>
      </c>
      <c r="C6" s="45" t="s">
        <v>11</v>
      </c>
      <c r="D6" s="47">
        <v>7762</v>
      </c>
      <c r="E6" s="47">
        <v>8349</v>
      </c>
      <c r="F6" s="47">
        <f t="shared" si="0"/>
        <v>587</v>
      </c>
      <c r="G6" s="47">
        <f t="shared" si="1"/>
        <v>7.5624838959031173</v>
      </c>
      <c r="H6" s="48">
        <f t="shared" si="2"/>
        <v>0.75624838959031171</v>
      </c>
    </row>
    <row r="7" spans="1:8" ht="15.75" customHeight="1">
      <c r="A7" s="44">
        <v>3</v>
      </c>
      <c r="B7" s="11" t="s">
        <v>9</v>
      </c>
      <c r="C7" s="45" t="s">
        <v>17</v>
      </c>
      <c r="D7" s="47">
        <v>4105</v>
      </c>
      <c r="E7" s="47">
        <v>5756</v>
      </c>
      <c r="F7" s="47">
        <f t="shared" si="0"/>
        <v>1651</v>
      </c>
      <c r="G7" s="47">
        <f t="shared" si="1"/>
        <v>40.21924482338612</v>
      </c>
      <c r="H7" s="48">
        <f t="shared" si="2"/>
        <v>4.021924482338612</v>
      </c>
    </row>
    <row r="8" spans="1:8" ht="15.75" customHeight="1">
      <c r="A8" s="44">
        <v>4</v>
      </c>
      <c r="B8" s="11" t="s">
        <v>9</v>
      </c>
      <c r="C8" s="50" t="s">
        <v>12</v>
      </c>
      <c r="D8" s="51">
        <v>1765</v>
      </c>
      <c r="E8" s="51">
        <v>1454</v>
      </c>
      <c r="F8" s="47">
        <f t="shared" si="0"/>
        <v>-311</v>
      </c>
      <c r="G8" s="47">
        <f t="shared" si="1"/>
        <v>-17.620396600566572</v>
      </c>
      <c r="H8" s="48">
        <f t="shared" si="2"/>
        <v>0</v>
      </c>
    </row>
    <row r="9" spans="1:8" ht="15.75" customHeight="1">
      <c r="A9" s="44">
        <v>5</v>
      </c>
      <c r="B9" s="11" t="s">
        <v>9</v>
      </c>
      <c r="C9" s="50" t="s">
        <v>13</v>
      </c>
      <c r="D9" s="51">
        <v>869</v>
      </c>
      <c r="E9" s="51">
        <v>1047</v>
      </c>
      <c r="F9" s="47">
        <f t="shared" si="0"/>
        <v>178</v>
      </c>
      <c r="G9" s="47">
        <f t="shared" si="1"/>
        <v>20.483314154200233</v>
      </c>
      <c r="H9" s="48">
        <f t="shared" si="2"/>
        <v>2.0483314154200234</v>
      </c>
    </row>
    <row r="10" spans="1:8" ht="15.75" customHeight="1">
      <c r="A10" s="44">
        <v>6</v>
      </c>
      <c r="B10" s="11" t="s">
        <v>9</v>
      </c>
      <c r="C10" s="50" t="s">
        <v>14</v>
      </c>
      <c r="D10" s="51">
        <v>3713</v>
      </c>
      <c r="E10" s="51">
        <v>3194</v>
      </c>
      <c r="F10" s="47">
        <f t="shared" si="0"/>
        <v>-519</v>
      </c>
      <c r="G10" s="47">
        <f t="shared" si="1"/>
        <v>-13.977915432265014</v>
      </c>
      <c r="H10" s="48">
        <f t="shared" si="2"/>
        <v>0</v>
      </c>
    </row>
    <row r="11" spans="1:8" ht="15.75" customHeight="1">
      <c r="A11" s="44">
        <v>7</v>
      </c>
      <c r="B11" s="11" t="s">
        <v>9</v>
      </c>
      <c r="C11" s="50" t="s">
        <v>15</v>
      </c>
      <c r="D11" s="51">
        <v>2847</v>
      </c>
      <c r="E11" s="51">
        <v>3156</v>
      </c>
      <c r="F11" s="47">
        <f t="shared" si="0"/>
        <v>309</v>
      </c>
      <c r="G11" s="47">
        <f t="shared" si="1"/>
        <v>10.853530031612223</v>
      </c>
      <c r="H11" s="48">
        <f t="shared" si="2"/>
        <v>1.0853530031612224</v>
      </c>
    </row>
    <row r="12" spans="1:8" ht="15.75" customHeight="1">
      <c r="A12" s="44">
        <v>8</v>
      </c>
      <c r="B12" s="11" t="s">
        <v>9</v>
      </c>
      <c r="C12" s="50" t="s">
        <v>16</v>
      </c>
      <c r="D12" s="51">
        <v>1501</v>
      </c>
      <c r="E12" s="51">
        <v>1418</v>
      </c>
      <c r="F12" s="47">
        <f t="shared" si="0"/>
        <v>-83</v>
      </c>
      <c r="G12" s="47">
        <f t="shared" si="1"/>
        <v>-5.5296469020652896</v>
      </c>
      <c r="H12" s="48">
        <f t="shared" si="2"/>
        <v>0</v>
      </c>
    </row>
    <row r="13" spans="1:8" ht="15.75" customHeight="1">
      <c r="A13" s="44">
        <v>9</v>
      </c>
      <c r="B13" s="11" t="s">
        <v>9</v>
      </c>
      <c r="C13" s="50" t="s">
        <v>109</v>
      </c>
      <c r="D13" s="51">
        <v>1997</v>
      </c>
      <c r="E13" s="51">
        <v>2270</v>
      </c>
      <c r="F13" s="47">
        <f t="shared" si="0"/>
        <v>273</v>
      </c>
      <c r="G13" s="47">
        <f t="shared" si="1"/>
        <v>13.670505758637958</v>
      </c>
      <c r="H13" s="48">
        <f t="shared" si="2"/>
        <v>1.3670505758637959</v>
      </c>
    </row>
    <row r="14" spans="1:8" ht="15.75" customHeight="1">
      <c r="A14" s="52"/>
      <c r="B14" s="11" t="s">
        <v>9</v>
      </c>
      <c r="C14" s="53" t="s">
        <v>120</v>
      </c>
      <c r="D14" s="52">
        <v>36456</v>
      </c>
      <c r="E14" s="52">
        <v>33931</v>
      </c>
      <c r="F14" s="54">
        <f t="shared" si="0"/>
        <v>-2525</v>
      </c>
      <c r="G14" s="54">
        <f t="shared" si="1"/>
        <v>-6.9261575597981127</v>
      </c>
      <c r="H14" s="55">
        <f t="shared" si="2"/>
        <v>0</v>
      </c>
    </row>
    <row r="15" spans="1:8" ht="15.75" customHeight="1">
      <c r="A15" s="44">
        <v>10</v>
      </c>
      <c r="B15" s="11" t="s">
        <v>19</v>
      </c>
      <c r="C15" s="45" t="s">
        <v>21</v>
      </c>
      <c r="D15" s="47">
        <v>6286</v>
      </c>
      <c r="E15" s="47">
        <v>6587</v>
      </c>
      <c r="F15" s="47">
        <f t="shared" si="0"/>
        <v>301</v>
      </c>
      <c r="G15" s="47">
        <f t="shared" si="1"/>
        <v>4.7884187082405347</v>
      </c>
      <c r="H15" s="48">
        <f t="shared" si="2"/>
        <v>0.47884187082405349</v>
      </c>
    </row>
    <row r="16" spans="1:8" ht="15.75" customHeight="1">
      <c r="A16" s="44">
        <v>11</v>
      </c>
      <c r="B16" s="11" t="s">
        <v>19</v>
      </c>
      <c r="C16" s="45" t="s">
        <v>26</v>
      </c>
      <c r="D16" s="47">
        <v>5419</v>
      </c>
      <c r="E16" s="47">
        <v>8543</v>
      </c>
      <c r="F16" s="47">
        <f t="shared" si="0"/>
        <v>3124</v>
      </c>
      <c r="G16" s="47">
        <f t="shared" si="1"/>
        <v>57.649012732976566</v>
      </c>
      <c r="H16" s="48">
        <f t="shared" si="2"/>
        <v>5.7649012732976566</v>
      </c>
    </row>
    <row r="17" spans="1:8" ht="15.75" customHeight="1">
      <c r="A17" s="44">
        <v>12</v>
      </c>
      <c r="B17" s="11" t="s">
        <v>19</v>
      </c>
      <c r="C17" s="45" t="s">
        <v>27</v>
      </c>
      <c r="D17" s="47">
        <v>4714</v>
      </c>
      <c r="E17" s="47">
        <v>7171</v>
      </c>
      <c r="F17" s="47">
        <f t="shared" si="0"/>
        <v>2457</v>
      </c>
      <c r="G17" s="47">
        <f t="shared" si="1"/>
        <v>52.12134068731438</v>
      </c>
      <c r="H17" s="48">
        <f t="shared" si="2"/>
        <v>5.2121340687314381</v>
      </c>
    </row>
    <row r="18" spans="1:8" ht="15.75" customHeight="1">
      <c r="A18" s="44">
        <v>13</v>
      </c>
      <c r="B18" s="11" t="s">
        <v>19</v>
      </c>
      <c r="C18" s="45" t="s">
        <v>29</v>
      </c>
      <c r="D18" s="47">
        <v>7392</v>
      </c>
      <c r="E18" s="47">
        <v>5210</v>
      </c>
      <c r="F18" s="47">
        <f t="shared" si="0"/>
        <v>-2182</v>
      </c>
      <c r="G18" s="47">
        <f t="shared" si="1"/>
        <v>-29.518398268398268</v>
      </c>
      <c r="H18" s="48">
        <f t="shared" si="2"/>
        <v>0</v>
      </c>
    </row>
    <row r="19" spans="1:8" ht="15.75" customHeight="1">
      <c r="A19" s="44">
        <v>14</v>
      </c>
      <c r="B19" s="11" t="s">
        <v>19</v>
      </c>
      <c r="C19" s="50" t="s">
        <v>20</v>
      </c>
      <c r="D19" s="51">
        <v>3195</v>
      </c>
      <c r="E19" s="51">
        <v>1847</v>
      </c>
      <c r="F19" s="47">
        <f t="shared" si="0"/>
        <v>-1348</v>
      </c>
      <c r="G19" s="47">
        <f t="shared" si="1"/>
        <v>-42.190923317683882</v>
      </c>
      <c r="H19" s="48">
        <f t="shared" si="2"/>
        <v>0</v>
      </c>
    </row>
    <row r="20" spans="1:8" ht="15.75" customHeight="1">
      <c r="A20" s="44">
        <v>15</v>
      </c>
      <c r="B20" s="11" t="s">
        <v>19</v>
      </c>
      <c r="C20" s="50" t="s">
        <v>22</v>
      </c>
      <c r="D20" s="51">
        <v>1779</v>
      </c>
      <c r="E20" s="51">
        <v>1521</v>
      </c>
      <c r="F20" s="47">
        <f t="shared" si="0"/>
        <v>-258</v>
      </c>
      <c r="G20" s="47">
        <f t="shared" si="1"/>
        <v>-14.502529510961216</v>
      </c>
      <c r="H20" s="48">
        <f t="shared" si="2"/>
        <v>0</v>
      </c>
    </row>
    <row r="21" spans="1:8" ht="15.75" customHeight="1">
      <c r="A21" s="44">
        <v>16</v>
      </c>
      <c r="B21" s="11" t="s">
        <v>19</v>
      </c>
      <c r="C21" s="50" t="s">
        <v>23</v>
      </c>
      <c r="D21" s="51">
        <v>1004</v>
      </c>
      <c r="E21" s="51">
        <v>1324</v>
      </c>
      <c r="F21" s="47">
        <f t="shared" si="0"/>
        <v>320</v>
      </c>
      <c r="G21" s="47">
        <f t="shared" si="1"/>
        <v>31.872509960159366</v>
      </c>
      <c r="H21" s="48">
        <f t="shared" si="2"/>
        <v>3.1872509960159365</v>
      </c>
    </row>
    <row r="22" spans="1:8" ht="15.75" customHeight="1">
      <c r="A22" s="44">
        <v>17</v>
      </c>
      <c r="B22" s="11" t="s">
        <v>19</v>
      </c>
      <c r="C22" s="50" t="s">
        <v>24</v>
      </c>
      <c r="D22" s="51">
        <v>1312</v>
      </c>
      <c r="E22" s="51">
        <v>1885</v>
      </c>
      <c r="F22" s="47">
        <f t="shared" si="0"/>
        <v>573</v>
      </c>
      <c r="G22" s="47">
        <f t="shared" si="1"/>
        <v>43.673780487804883</v>
      </c>
      <c r="H22" s="48">
        <f t="shared" si="2"/>
        <v>4.3673780487804885</v>
      </c>
    </row>
    <row r="23" spans="1:8" ht="15.75" customHeight="1">
      <c r="A23" s="44">
        <v>18</v>
      </c>
      <c r="B23" s="11" t="s">
        <v>19</v>
      </c>
      <c r="C23" s="50" t="s">
        <v>25</v>
      </c>
      <c r="D23" s="51">
        <v>1265</v>
      </c>
      <c r="E23" s="51">
        <v>1363</v>
      </c>
      <c r="F23" s="47">
        <f t="shared" si="0"/>
        <v>98</v>
      </c>
      <c r="G23" s="47">
        <f t="shared" si="1"/>
        <v>7.7470355731225293</v>
      </c>
      <c r="H23" s="48">
        <f t="shared" si="2"/>
        <v>0.77470355731225293</v>
      </c>
    </row>
    <row r="24" spans="1:8" ht="15.75" customHeight="1">
      <c r="A24" s="44">
        <v>19</v>
      </c>
      <c r="B24" s="11" t="s">
        <v>19</v>
      </c>
      <c r="C24" s="50" t="s">
        <v>28</v>
      </c>
      <c r="D24" s="51">
        <v>2451</v>
      </c>
      <c r="E24" s="51">
        <v>2757</v>
      </c>
      <c r="F24" s="47">
        <f t="shared" si="0"/>
        <v>306</v>
      </c>
      <c r="G24" s="47">
        <f t="shared" si="1"/>
        <v>12.484700122399021</v>
      </c>
      <c r="H24" s="48">
        <f t="shared" si="2"/>
        <v>1.2484700122399022</v>
      </c>
    </row>
    <row r="25" spans="1:8" ht="28.8">
      <c r="A25" s="44">
        <v>20</v>
      </c>
      <c r="B25" s="11" t="s">
        <v>19</v>
      </c>
      <c r="C25" s="50" t="s">
        <v>111</v>
      </c>
      <c r="D25" s="51">
        <v>2091</v>
      </c>
      <c r="E25" s="51">
        <v>2034</v>
      </c>
      <c r="F25" s="47">
        <f t="shared" si="0"/>
        <v>-57</v>
      </c>
      <c r="G25" s="47">
        <f t="shared" si="1"/>
        <v>-2.7259684361549499</v>
      </c>
      <c r="H25" s="48">
        <f t="shared" si="2"/>
        <v>0</v>
      </c>
    </row>
    <row r="26" spans="1:8" ht="28.8">
      <c r="A26" s="44">
        <v>21</v>
      </c>
      <c r="B26" s="11" t="s">
        <v>19</v>
      </c>
      <c r="C26" s="50" t="s">
        <v>30</v>
      </c>
      <c r="D26" s="51">
        <v>2060</v>
      </c>
      <c r="E26" s="51">
        <v>1551</v>
      </c>
      <c r="F26" s="47">
        <f t="shared" si="0"/>
        <v>-509</v>
      </c>
      <c r="G26" s="47">
        <f t="shared" si="1"/>
        <v>-24.708737864077669</v>
      </c>
      <c r="H26" s="48">
        <f t="shared" si="2"/>
        <v>0</v>
      </c>
    </row>
    <row r="27" spans="1:8" ht="28.8">
      <c r="A27" s="52"/>
      <c r="B27" s="11" t="s">
        <v>19</v>
      </c>
      <c r="C27" s="53" t="s">
        <v>31</v>
      </c>
      <c r="D27" s="52">
        <v>38968</v>
      </c>
      <c r="E27" s="52">
        <v>41793</v>
      </c>
      <c r="F27" s="54">
        <f t="shared" si="0"/>
        <v>2825</v>
      </c>
      <c r="G27" s="54">
        <f t="shared" si="1"/>
        <v>7.2495380825292548</v>
      </c>
      <c r="H27" s="55">
        <f t="shared" si="2"/>
        <v>0.72495380825292544</v>
      </c>
    </row>
    <row r="28" spans="1:8" ht="28.8">
      <c r="A28" s="44">
        <v>22</v>
      </c>
      <c r="B28" s="11" t="s">
        <v>32</v>
      </c>
      <c r="C28" s="45" t="s">
        <v>34</v>
      </c>
      <c r="D28" s="47">
        <v>16748</v>
      </c>
      <c r="E28" s="47">
        <v>22256</v>
      </c>
      <c r="F28" s="47">
        <f t="shared" si="0"/>
        <v>5508</v>
      </c>
      <c r="G28" s="47">
        <f t="shared" si="1"/>
        <v>32.887508956293289</v>
      </c>
      <c r="H28" s="48">
        <f t="shared" si="2"/>
        <v>3.2887508956293288</v>
      </c>
    </row>
    <row r="29" spans="1:8" ht="72">
      <c r="A29" s="44">
        <v>23</v>
      </c>
      <c r="B29" s="11" t="s">
        <v>32</v>
      </c>
      <c r="C29" s="45" t="s">
        <v>33</v>
      </c>
      <c r="D29" s="47">
        <v>20173</v>
      </c>
      <c r="E29" s="47">
        <v>67991</v>
      </c>
      <c r="F29" s="47">
        <f t="shared" si="0"/>
        <v>47818</v>
      </c>
      <c r="G29" s="47">
        <f t="shared" si="1"/>
        <v>237.03960739602439</v>
      </c>
      <c r="H29" s="48">
        <f t="shared" si="2"/>
        <v>10</v>
      </c>
    </row>
    <row r="30" spans="1:8" ht="28.8">
      <c r="A30" s="44">
        <v>24</v>
      </c>
      <c r="B30" s="11" t="s">
        <v>32</v>
      </c>
      <c r="C30" s="50" t="s">
        <v>112</v>
      </c>
      <c r="D30" s="51">
        <v>3146</v>
      </c>
      <c r="E30" s="51">
        <v>2960</v>
      </c>
      <c r="F30" s="47">
        <f t="shared" si="0"/>
        <v>-186</v>
      </c>
      <c r="G30" s="47">
        <f t="shared" si="1"/>
        <v>-5.9122695486331844</v>
      </c>
      <c r="H30" s="48">
        <f t="shared" si="2"/>
        <v>0</v>
      </c>
    </row>
    <row r="31" spans="1:8" ht="28.8">
      <c r="A31" s="58"/>
      <c r="B31" s="11" t="s">
        <v>32</v>
      </c>
      <c r="C31" s="59" t="s">
        <v>121</v>
      </c>
      <c r="D31" s="58">
        <v>40067</v>
      </c>
      <c r="E31" s="58">
        <v>93207</v>
      </c>
      <c r="F31" s="60">
        <f t="shared" si="0"/>
        <v>53140</v>
      </c>
      <c r="G31" s="60">
        <f t="shared" si="1"/>
        <v>132.62784835400703</v>
      </c>
      <c r="H31" s="61">
        <f t="shared" si="2"/>
        <v>10</v>
      </c>
    </row>
    <row r="32" spans="1:8" ht="28.8">
      <c r="A32" s="44">
        <v>25</v>
      </c>
      <c r="B32" s="11" t="s">
        <v>36</v>
      </c>
      <c r="C32" s="45" t="s">
        <v>42</v>
      </c>
      <c r="D32" s="47">
        <v>4242</v>
      </c>
      <c r="E32" s="47">
        <v>3125</v>
      </c>
      <c r="F32" s="47">
        <f t="shared" si="0"/>
        <v>-1117</v>
      </c>
      <c r="G32" s="47">
        <f t="shared" si="1"/>
        <v>-26.33191890617633</v>
      </c>
      <c r="H32" s="48">
        <f t="shared" si="2"/>
        <v>0</v>
      </c>
    </row>
    <row r="33" spans="1:8" ht="28.8">
      <c r="A33" s="44">
        <v>26</v>
      </c>
      <c r="B33" s="11" t="s">
        <v>36</v>
      </c>
      <c r="C33" s="50" t="s">
        <v>37</v>
      </c>
      <c r="D33" s="51">
        <v>2454</v>
      </c>
      <c r="E33" s="51">
        <v>2824</v>
      </c>
      <c r="F33" s="47">
        <f t="shared" si="0"/>
        <v>370</v>
      </c>
      <c r="G33" s="47">
        <f t="shared" si="1"/>
        <v>15.077424612876936</v>
      </c>
      <c r="H33" s="48">
        <f t="shared" si="2"/>
        <v>1.5077424612876935</v>
      </c>
    </row>
    <row r="34" spans="1:8" ht="28.8">
      <c r="A34" s="44">
        <v>27</v>
      </c>
      <c r="B34" s="11" t="s">
        <v>36</v>
      </c>
      <c r="C34" s="50" t="s">
        <v>38</v>
      </c>
      <c r="D34" s="51">
        <v>1169</v>
      </c>
      <c r="E34" s="51">
        <v>1099</v>
      </c>
      <c r="F34" s="47">
        <f t="shared" si="0"/>
        <v>-70</v>
      </c>
      <c r="G34" s="47">
        <f t="shared" si="1"/>
        <v>-5.9880239520958085</v>
      </c>
      <c r="H34" s="48">
        <f t="shared" si="2"/>
        <v>0</v>
      </c>
    </row>
    <row r="35" spans="1:8" ht="28.2">
      <c r="A35" s="44">
        <v>28</v>
      </c>
      <c r="B35" s="11" t="s">
        <v>36</v>
      </c>
      <c r="C35" s="50" t="s">
        <v>39</v>
      </c>
      <c r="D35" s="51">
        <v>1551</v>
      </c>
      <c r="E35" s="51">
        <v>1624</v>
      </c>
      <c r="F35" s="47">
        <f t="shared" si="0"/>
        <v>73</v>
      </c>
      <c r="G35" s="47">
        <f t="shared" si="1"/>
        <v>4.7066408768536432</v>
      </c>
      <c r="H35" s="48">
        <f t="shared" si="2"/>
        <v>0.47066408768536433</v>
      </c>
    </row>
    <row r="36" spans="1:8" ht="28.8">
      <c r="A36" s="44">
        <v>29</v>
      </c>
      <c r="B36" s="11" t="s">
        <v>36</v>
      </c>
      <c r="C36" s="50" t="s">
        <v>40</v>
      </c>
      <c r="D36" s="51">
        <v>2394</v>
      </c>
      <c r="E36" s="51">
        <v>1072</v>
      </c>
      <c r="F36" s="47">
        <f t="shared" si="0"/>
        <v>-1322</v>
      </c>
      <c r="G36" s="47">
        <f t="shared" si="1"/>
        <v>-55.221386800334166</v>
      </c>
      <c r="H36" s="48">
        <f t="shared" si="2"/>
        <v>0</v>
      </c>
    </row>
    <row r="37" spans="1:8" ht="28.8">
      <c r="A37" s="44">
        <v>30</v>
      </c>
      <c r="B37" s="11" t="s">
        <v>36</v>
      </c>
      <c r="C37" s="50" t="s">
        <v>41</v>
      </c>
      <c r="D37" s="51">
        <v>1466</v>
      </c>
      <c r="E37" s="51">
        <v>1556</v>
      </c>
      <c r="F37" s="47">
        <f t="shared" si="0"/>
        <v>90</v>
      </c>
      <c r="G37" s="47">
        <f t="shared" si="1"/>
        <v>6.1391541609822644</v>
      </c>
      <c r="H37" s="48">
        <f t="shared" si="2"/>
        <v>0.61391541609822642</v>
      </c>
    </row>
    <row r="38" spans="1:8" ht="28.8">
      <c r="A38" s="44">
        <v>31</v>
      </c>
      <c r="B38" s="11" t="s">
        <v>36</v>
      </c>
      <c r="C38" s="50" t="s">
        <v>113</v>
      </c>
      <c r="D38" s="51">
        <v>856</v>
      </c>
      <c r="E38" s="51">
        <v>1136</v>
      </c>
      <c r="F38" s="47">
        <f t="shared" si="0"/>
        <v>280</v>
      </c>
      <c r="G38" s="47">
        <f t="shared" si="1"/>
        <v>32.710280373831772</v>
      </c>
      <c r="H38" s="48">
        <f t="shared" si="2"/>
        <v>3.2710280373831773</v>
      </c>
    </row>
    <row r="39" spans="1:8" ht="28.8">
      <c r="A39" s="53"/>
      <c r="B39" s="11" t="s">
        <v>36</v>
      </c>
      <c r="C39" s="53" t="s">
        <v>43</v>
      </c>
      <c r="D39" s="53">
        <v>14132</v>
      </c>
      <c r="E39" s="53">
        <v>12436</v>
      </c>
      <c r="F39" s="54">
        <f t="shared" si="0"/>
        <v>-1696</v>
      </c>
      <c r="G39" s="54">
        <f t="shared" si="1"/>
        <v>-12.001132182281347</v>
      </c>
      <c r="H39" s="55">
        <f t="shared" si="2"/>
        <v>0</v>
      </c>
    </row>
    <row r="40" spans="1:8" ht="28.8">
      <c r="A40" s="44">
        <v>32</v>
      </c>
      <c r="B40" s="11" t="s">
        <v>44</v>
      </c>
      <c r="C40" s="45" t="s">
        <v>46</v>
      </c>
      <c r="D40" s="47">
        <v>4641</v>
      </c>
      <c r="E40" s="47">
        <v>4605</v>
      </c>
      <c r="F40" s="47">
        <f t="shared" si="0"/>
        <v>-36</v>
      </c>
      <c r="G40" s="47">
        <f t="shared" si="1"/>
        <v>-0.77569489334195219</v>
      </c>
      <c r="H40" s="48">
        <f t="shared" si="2"/>
        <v>0</v>
      </c>
    </row>
    <row r="41" spans="1:8" ht="28.8">
      <c r="A41" s="44">
        <v>33</v>
      </c>
      <c r="B41" s="11" t="s">
        <v>44</v>
      </c>
      <c r="C41" s="45" t="s">
        <v>48</v>
      </c>
      <c r="D41" s="47">
        <v>6668</v>
      </c>
      <c r="E41" s="47">
        <v>6473</v>
      </c>
      <c r="F41" s="47">
        <f t="shared" si="0"/>
        <v>-195</v>
      </c>
      <c r="G41" s="47">
        <f t="shared" si="1"/>
        <v>-2.9244151169766042</v>
      </c>
      <c r="H41" s="48">
        <f t="shared" si="2"/>
        <v>0</v>
      </c>
    </row>
    <row r="42" spans="1:8" ht="28.8">
      <c r="A42" s="44">
        <v>34</v>
      </c>
      <c r="B42" s="11" t="s">
        <v>44</v>
      </c>
      <c r="C42" s="45" t="s">
        <v>49</v>
      </c>
      <c r="D42" s="47">
        <v>3272</v>
      </c>
      <c r="E42" s="47">
        <v>3478</v>
      </c>
      <c r="F42" s="47">
        <f t="shared" si="0"/>
        <v>206</v>
      </c>
      <c r="G42" s="47">
        <f t="shared" si="1"/>
        <v>6.2958435207823964</v>
      </c>
      <c r="H42" s="48">
        <f t="shared" si="2"/>
        <v>0.6295843520782396</v>
      </c>
    </row>
    <row r="43" spans="1:8" ht="28.8">
      <c r="A43" s="44">
        <v>35</v>
      </c>
      <c r="B43" s="11" t="s">
        <v>44</v>
      </c>
      <c r="C43" s="50" t="s">
        <v>45</v>
      </c>
      <c r="D43" s="51">
        <v>1932</v>
      </c>
      <c r="E43" s="51">
        <v>1356</v>
      </c>
      <c r="F43" s="47">
        <f t="shared" si="0"/>
        <v>-576</v>
      </c>
      <c r="G43" s="47">
        <f t="shared" si="1"/>
        <v>-29.813664596273291</v>
      </c>
      <c r="H43" s="48">
        <f t="shared" si="2"/>
        <v>0</v>
      </c>
    </row>
    <row r="44" spans="1:8" ht="28.8">
      <c r="A44" s="44">
        <v>36</v>
      </c>
      <c r="B44" s="11" t="s">
        <v>44</v>
      </c>
      <c r="C44" s="50" t="s">
        <v>47</v>
      </c>
      <c r="D44" s="51">
        <v>550</v>
      </c>
      <c r="E44" s="51">
        <v>615</v>
      </c>
      <c r="F44" s="47">
        <f t="shared" si="0"/>
        <v>65</v>
      </c>
      <c r="G44" s="47">
        <f t="shared" si="1"/>
        <v>11.818181818181818</v>
      </c>
      <c r="H44" s="48">
        <f t="shared" si="2"/>
        <v>1.1818181818181819</v>
      </c>
    </row>
    <row r="45" spans="1:8" ht="43.2">
      <c r="A45" s="44">
        <v>37</v>
      </c>
      <c r="B45" s="11" t="s">
        <v>44</v>
      </c>
      <c r="C45" s="50" t="s">
        <v>50</v>
      </c>
      <c r="D45" s="51">
        <v>4675</v>
      </c>
      <c r="E45" s="51">
        <v>4381</v>
      </c>
      <c r="F45" s="47">
        <f t="shared" si="0"/>
        <v>-294</v>
      </c>
      <c r="G45" s="47">
        <f t="shared" si="1"/>
        <v>-6.2887700534759361</v>
      </c>
      <c r="H45" s="48">
        <f t="shared" si="2"/>
        <v>0</v>
      </c>
    </row>
    <row r="46" spans="1:8" ht="28.2">
      <c r="A46" s="44">
        <v>38</v>
      </c>
      <c r="B46" s="11" t="s">
        <v>44</v>
      </c>
      <c r="C46" s="50" t="s">
        <v>114</v>
      </c>
      <c r="D46" s="51">
        <v>820</v>
      </c>
      <c r="E46" s="51">
        <v>1518</v>
      </c>
      <c r="F46" s="47">
        <f t="shared" si="0"/>
        <v>698</v>
      </c>
      <c r="G46" s="47">
        <f t="shared" si="1"/>
        <v>85.121951219512198</v>
      </c>
      <c r="H46" s="48">
        <f t="shared" si="2"/>
        <v>8.5121951219512191</v>
      </c>
    </row>
    <row r="47" spans="1:8" ht="28.8">
      <c r="A47" s="52"/>
      <c r="B47" s="11" t="s">
        <v>44</v>
      </c>
      <c r="C47" s="53" t="s">
        <v>51</v>
      </c>
      <c r="D47" s="52">
        <v>22558</v>
      </c>
      <c r="E47" s="52">
        <v>22426</v>
      </c>
      <c r="F47" s="54">
        <f t="shared" si="0"/>
        <v>-132</v>
      </c>
      <c r="G47" s="54">
        <f t="shared" si="1"/>
        <v>-0.58515825871087856</v>
      </c>
      <c r="H47" s="55">
        <f t="shared" si="2"/>
        <v>0</v>
      </c>
    </row>
    <row r="48" spans="1:8" ht="28.8">
      <c r="A48" s="44">
        <v>39</v>
      </c>
      <c r="B48" s="11" t="s">
        <v>52</v>
      </c>
      <c r="C48" s="45" t="s">
        <v>53</v>
      </c>
      <c r="D48" s="47">
        <v>2466</v>
      </c>
      <c r="E48" s="47">
        <v>3409</v>
      </c>
      <c r="F48" s="47">
        <f t="shared" si="0"/>
        <v>943</v>
      </c>
      <c r="G48" s="47">
        <f t="shared" si="1"/>
        <v>38.240064882400645</v>
      </c>
      <c r="H48" s="48">
        <f t="shared" si="2"/>
        <v>3.8240064882400646</v>
      </c>
    </row>
    <row r="49" spans="1:8" ht="28.8">
      <c r="A49" s="44">
        <v>40</v>
      </c>
      <c r="B49" s="11" t="s">
        <v>52</v>
      </c>
      <c r="C49" s="45" t="s">
        <v>55</v>
      </c>
      <c r="D49" s="47">
        <v>19978</v>
      </c>
      <c r="E49" s="47">
        <v>20638</v>
      </c>
      <c r="F49" s="47">
        <f t="shared" si="0"/>
        <v>660</v>
      </c>
      <c r="G49" s="47">
        <f t="shared" si="1"/>
        <v>3.3036339973971369</v>
      </c>
      <c r="H49" s="48">
        <f t="shared" si="2"/>
        <v>0.33036339973971368</v>
      </c>
    </row>
    <row r="50" spans="1:8" ht="28.8">
      <c r="A50" s="44">
        <v>41</v>
      </c>
      <c r="B50" s="11" t="s">
        <v>52</v>
      </c>
      <c r="C50" s="45" t="s">
        <v>56</v>
      </c>
      <c r="D50" s="47">
        <v>10782</v>
      </c>
      <c r="E50" s="47">
        <v>11570</v>
      </c>
      <c r="F50" s="47">
        <f t="shared" si="0"/>
        <v>788</v>
      </c>
      <c r="G50" s="47">
        <f t="shared" si="1"/>
        <v>7.3084770914487116</v>
      </c>
      <c r="H50" s="48">
        <f t="shared" si="2"/>
        <v>0.73084770914487118</v>
      </c>
    </row>
    <row r="51" spans="1:8" ht="28.8">
      <c r="A51" s="44">
        <v>42</v>
      </c>
      <c r="B51" s="11" t="s">
        <v>52</v>
      </c>
      <c r="C51" s="45" t="s">
        <v>58</v>
      </c>
      <c r="D51" s="47">
        <v>1102</v>
      </c>
      <c r="E51" s="47">
        <v>1361</v>
      </c>
      <c r="F51" s="47">
        <f t="shared" si="0"/>
        <v>259</v>
      </c>
      <c r="G51" s="47">
        <f t="shared" si="1"/>
        <v>23.502722323049003</v>
      </c>
      <c r="H51" s="48">
        <f t="shared" si="2"/>
        <v>2.3502722323049001</v>
      </c>
    </row>
    <row r="52" spans="1:8" ht="28.8">
      <c r="A52" s="44">
        <v>43</v>
      </c>
      <c r="B52" s="11" t="s">
        <v>52</v>
      </c>
      <c r="C52" s="50" t="s">
        <v>54</v>
      </c>
      <c r="D52" s="51">
        <v>906</v>
      </c>
      <c r="E52" s="51">
        <v>872</v>
      </c>
      <c r="F52" s="47">
        <f t="shared" si="0"/>
        <v>-34</v>
      </c>
      <c r="G52" s="47">
        <f t="shared" si="1"/>
        <v>-3.7527593818984544</v>
      </c>
      <c r="H52" s="48">
        <f t="shared" si="2"/>
        <v>0</v>
      </c>
    </row>
    <row r="53" spans="1:8" ht="28.8">
      <c r="A53" s="44">
        <v>44</v>
      </c>
      <c r="B53" s="11" t="s">
        <v>52</v>
      </c>
      <c r="C53" s="50" t="s">
        <v>57</v>
      </c>
      <c r="D53" s="51">
        <v>1183</v>
      </c>
      <c r="E53" s="51">
        <v>936</v>
      </c>
      <c r="F53" s="47">
        <f t="shared" si="0"/>
        <v>-247</v>
      </c>
      <c r="G53" s="47">
        <f t="shared" si="1"/>
        <v>-20.87912087912088</v>
      </c>
      <c r="H53" s="48">
        <f t="shared" si="2"/>
        <v>0</v>
      </c>
    </row>
    <row r="54" spans="1:8" ht="28.8">
      <c r="A54" s="44">
        <v>45</v>
      </c>
      <c r="B54" s="11" t="s">
        <v>52</v>
      </c>
      <c r="C54" s="50" t="s">
        <v>115</v>
      </c>
      <c r="D54" s="51">
        <v>2024</v>
      </c>
      <c r="E54" s="51">
        <v>2041</v>
      </c>
      <c r="F54" s="47">
        <f t="shared" si="0"/>
        <v>17</v>
      </c>
      <c r="G54" s="47">
        <f t="shared" si="1"/>
        <v>0.83992094861660083</v>
      </c>
      <c r="H54" s="48">
        <f t="shared" si="2"/>
        <v>8.399209486166008E-2</v>
      </c>
    </row>
    <row r="55" spans="1:8" ht="28.8">
      <c r="A55" s="52"/>
      <c r="B55" s="11" t="s">
        <v>52</v>
      </c>
      <c r="C55" s="53" t="s">
        <v>52</v>
      </c>
      <c r="D55" s="52">
        <v>38441</v>
      </c>
      <c r="E55" s="52">
        <v>40827</v>
      </c>
      <c r="F55" s="54">
        <f t="shared" si="0"/>
        <v>2386</v>
      </c>
      <c r="G55" s="54">
        <f t="shared" si="1"/>
        <v>6.2069144923389086</v>
      </c>
      <c r="H55" s="55">
        <f t="shared" si="2"/>
        <v>0.62069144923389086</v>
      </c>
    </row>
    <row r="56" spans="1:8" ht="28.8">
      <c r="A56" s="44">
        <v>46</v>
      </c>
      <c r="B56" s="11" t="s">
        <v>60</v>
      </c>
      <c r="C56" s="45" t="s">
        <v>61</v>
      </c>
      <c r="D56" s="47">
        <v>1355</v>
      </c>
      <c r="E56" s="47">
        <v>1522</v>
      </c>
      <c r="F56" s="47">
        <f t="shared" si="0"/>
        <v>167</v>
      </c>
      <c r="G56" s="47">
        <f t="shared" si="1"/>
        <v>12.324723247232471</v>
      </c>
      <c r="H56" s="48">
        <f t="shared" si="2"/>
        <v>1.2324723247232472</v>
      </c>
    </row>
    <row r="57" spans="1:8" ht="28.8">
      <c r="A57" s="44">
        <v>47</v>
      </c>
      <c r="B57" s="11" t="s">
        <v>60</v>
      </c>
      <c r="C57" s="45" t="s">
        <v>63</v>
      </c>
      <c r="D57" s="47">
        <v>17786</v>
      </c>
      <c r="E57" s="47">
        <v>15548</v>
      </c>
      <c r="F57" s="47">
        <f t="shared" si="0"/>
        <v>-2238</v>
      </c>
      <c r="G57" s="47">
        <f t="shared" si="1"/>
        <v>-12.582930394692454</v>
      </c>
      <c r="H57" s="48">
        <f t="shared" si="2"/>
        <v>0</v>
      </c>
    </row>
    <row r="58" spans="1:8" ht="28.8">
      <c r="A58" s="44">
        <v>48</v>
      </c>
      <c r="B58" s="11" t="s">
        <v>60</v>
      </c>
      <c r="C58" s="50" t="s">
        <v>62</v>
      </c>
      <c r="D58" s="51">
        <v>1015</v>
      </c>
      <c r="E58" s="51">
        <v>1370</v>
      </c>
      <c r="F58" s="47">
        <f t="shared" si="0"/>
        <v>355</v>
      </c>
      <c r="G58" s="47">
        <f t="shared" si="1"/>
        <v>34.975369458128078</v>
      </c>
      <c r="H58" s="48">
        <f t="shared" si="2"/>
        <v>3.4975369458128078</v>
      </c>
    </row>
    <row r="59" spans="1:8" ht="28.2">
      <c r="A59" s="44">
        <v>49</v>
      </c>
      <c r="B59" s="11" t="s">
        <v>60</v>
      </c>
      <c r="C59" s="50" t="s">
        <v>116</v>
      </c>
      <c r="D59" s="51">
        <v>2726</v>
      </c>
      <c r="E59" s="51">
        <v>1607</v>
      </c>
      <c r="F59" s="47">
        <f t="shared" si="0"/>
        <v>-1119</v>
      </c>
      <c r="G59" s="47">
        <f t="shared" si="1"/>
        <v>-41.049156272927362</v>
      </c>
      <c r="H59" s="48">
        <f t="shared" si="2"/>
        <v>0</v>
      </c>
    </row>
    <row r="60" spans="1:8" ht="28.8">
      <c r="A60" s="44">
        <v>50</v>
      </c>
      <c r="B60" s="11" t="s">
        <v>60</v>
      </c>
      <c r="C60" s="50" t="s">
        <v>64</v>
      </c>
      <c r="D60" s="51">
        <v>1150</v>
      </c>
      <c r="E60" s="51">
        <v>1182</v>
      </c>
      <c r="F60" s="47">
        <f t="shared" si="0"/>
        <v>32</v>
      </c>
      <c r="G60" s="47">
        <f t="shared" si="1"/>
        <v>2.7826086956521738</v>
      </c>
      <c r="H60" s="48">
        <f t="shared" si="2"/>
        <v>0.27826086956521739</v>
      </c>
    </row>
    <row r="61" spans="1:8" ht="28.8">
      <c r="A61" s="52"/>
      <c r="B61" s="11" t="s">
        <v>60</v>
      </c>
      <c r="C61" s="53" t="s">
        <v>65</v>
      </c>
      <c r="D61" s="52">
        <v>24032</v>
      </c>
      <c r="E61" s="52">
        <v>21229</v>
      </c>
      <c r="F61" s="54">
        <f t="shared" si="0"/>
        <v>-2803</v>
      </c>
      <c r="G61" s="54">
        <f t="shared" si="1"/>
        <v>-11.66361517976032</v>
      </c>
      <c r="H61" s="55">
        <f t="shared" si="2"/>
        <v>0</v>
      </c>
    </row>
    <row r="62" spans="1:8" ht="28.8">
      <c r="A62" s="44">
        <v>51</v>
      </c>
      <c r="B62" s="11" t="s">
        <v>66</v>
      </c>
      <c r="C62" s="45" t="s">
        <v>70</v>
      </c>
      <c r="D62" s="47">
        <v>4579</v>
      </c>
      <c r="E62" s="47">
        <v>3498</v>
      </c>
      <c r="F62" s="47">
        <f t="shared" si="0"/>
        <v>-1081</v>
      </c>
      <c r="G62" s="47">
        <f t="shared" si="1"/>
        <v>-23.607774623280193</v>
      </c>
      <c r="H62" s="48">
        <f t="shared" si="2"/>
        <v>0</v>
      </c>
    </row>
    <row r="63" spans="1:8" ht="28.8">
      <c r="A63" s="44">
        <v>52</v>
      </c>
      <c r="B63" s="11" t="s">
        <v>66</v>
      </c>
      <c r="C63" s="45" t="s">
        <v>71</v>
      </c>
      <c r="D63" s="47">
        <v>2947</v>
      </c>
      <c r="E63" s="47">
        <v>3778</v>
      </c>
      <c r="F63" s="47">
        <f t="shared" si="0"/>
        <v>831</v>
      </c>
      <c r="G63" s="47">
        <f t="shared" si="1"/>
        <v>28.198167628096371</v>
      </c>
      <c r="H63" s="48">
        <f t="shared" si="2"/>
        <v>2.8198167628096371</v>
      </c>
    </row>
    <row r="64" spans="1:8" ht="28.2">
      <c r="A64" s="44">
        <v>53</v>
      </c>
      <c r="B64" s="11" t="s">
        <v>66</v>
      </c>
      <c r="C64" s="50" t="s">
        <v>67</v>
      </c>
      <c r="D64" s="51">
        <v>895</v>
      </c>
      <c r="E64" s="51">
        <v>794</v>
      </c>
      <c r="F64" s="47">
        <f t="shared" si="0"/>
        <v>-101</v>
      </c>
      <c r="G64" s="47">
        <f t="shared" si="1"/>
        <v>-11.284916201117319</v>
      </c>
      <c r="H64" s="48">
        <f t="shared" si="2"/>
        <v>0</v>
      </c>
    </row>
    <row r="65" spans="1:8" ht="28.8">
      <c r="A65" s="44">
        <v>54</v>
      </c>
      <c r="B65" s="11" t="s">
        <v>66</v>
      </c>
      <c r="C65" s="50" t="s">
        <v>68</v>
      </c>
      <c r="D65" s="51">
        <v>1035</v>
      </c>
      <c r="E65" s="51">
        <v>996</v>
      </c>
      <c r="F65" s="47">
        <f t="shared" si="0"/>
        <v>-39</v>
      </c>
      <c r="G65" s="47">
        <f t="shared" si="1"/>
        <v>-3.7681159420289858</v>
      </c>
      <c r="H65" s="48">
        <f t="shared" si="2"/>
        <v>0</v>
      </c>
    </row>
    <row r="66" spans="1:8" ht="28.8">
      <c r="A66" s="44">
        <v>55</v>
      </c>
      <c r="B66" s="11" t="s">
        <v>66</v>
      </c>
      <c r="C66" s="50" t="s">
        <v>69</v>
      </c>
      <c r="D66" s="51">
        <v>936</v>
      </c>
      <c r="E66" s="51">
        <v>1211</v>
      </c>
      <c r="F66" s="47">
        <f t="shared" si="0"/>
        <v>275</v>
      </c>
      <c r="G66" s="47">
        <f t="shared" si="1"/>
        <v>29.380341880341881</v>
      </c>
      <c r="H66" s="48">
        <f t="shared" si="2"/>
        <v>2.9380341880341883</v>
      </c>
    </row>
    <row r="67" spans="1:8" ht="28.8">
      <c r="A67" s="52"/>
      <c r="B67" s="11" t="s">
        <v>66</v>
      </c>
      <c r="C67" s="53" t="s">
        <v>72</v>
      </c>
      <c r="D67" s="52">
        <v>10392</v>
      </c>
      <c r="E67" s="52">
        <v>10277</v>
      </c>
      <c r="F67" s="54">
        <f t="shared" si="0"/>
        <v>-115</v>
      </c>
      <c r="G67" s="54">
        <f t="shared" si="1"/>
        <v>-1.1066204772902233</v>
      </c>
      <c r="H67" s="55">
        <f t="shared" si="2"/>
        <v>0</v>
      </c>
    </row>
    <row r="68" spans="1:8" ht="28.8">
      <c r="A68" s="52">
        <v>56</v>
      </c>
      <c r="B68" s="65" t="s">
        <v>73</v>
      </c>
      <c r="C68" s="66" t="s">
        <v>117</v>
      </c>
      <c r="D68" s="52">
        <v>225046</v>
      </c>
      <c r="E68" s="52">
        <v>276126</v>
      </c>
      <c r="F68" s="54">
        <f t="shared" si="0"/>
        <v>51080</v>
      </c>
      <c r="G68" s="54">
        <f t="shared" si="1"/>
        <v>22.697581827715222</v>
      </c>
      <c r="H68" s="55">
        <f t="shared" si="2"/>
        <v>2.2697581827715223</v>
      </c>
    </row>
  </sheetData>
  <mergeCells count="5">
    <mergeCell ref="A1:H1"/>
    <mergeCell ref="A2:A4"/>
    <mergeCell ref="B2:B4"/>
    <mergeCell ref="C2:C4"/>
    <mergeCell ref="D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64"/>
  <sheetViews>
    <sheetView workbookViewId="0">
      <selection sqref="A1:F1"/>
    </sheetView>
  </sheetViews>
  <sheetFormatPr defaultColWidth="12.6640625" defaultRowHeight="15.75" customHeight="1"/>
  <cols>
    <col min="2" max="2" width="16.88671875" customWidth="1"/>
  </cols>
  <sheetData>
    <row r="1" spans="1:10" ht="15.75" customHeight="1">
      <c r="A1" s="104" t="s">
        <v>89</v>
      </c>
      <c r="B1" s="100"/>
      <c r="C1" s="100"/>
      <c r="D1" s="100"/>
      <c r="E1" s="100"/>
      <c r="F1" s="101"/>
      <c r="G1" s="71"/>
      <c r="H1" s="71"/>
      <c r="I1" s="71"/>
      <c r="J1" s="71"/>
    </row>
    <row r="2" spans="1:10" ht="15.75" customHeight="1">
      <c r="A2" s="72"/>
      <c r="B2" s="105"/>
      <c r="C2" s="87"/>
      <c r="D2" s="87"/>
      <c r="E2" s="87"/>
      <c r="F2" s="87"/>
      <c r="G2" s="71"/>
      <c r="H2" s="71"/>
      <c r="I2" s="71"/>
      <c r="J2" s="71"/>
    </row>
    <row r="3" spans="1:10">
      <c r="A3" s="91" t="s">
        <v>122</v>
      </c>
      <c r="B3" s="87"/>
      <c r="C3" s="87"/>
      <c r="D3" s="87"/>
      <c r="E3" s="87"/>
      <c r="F3" s="87"/>
    </row>
    <row r="4" spans="1:10">
      <c r="A4" s="106" t="s">
        <v>123</v>
      </c>
      <c r="B4" s="101"/>
      <c r="C4" s="2" t="s">
        <v>124</v>
      </c>
      <c r="D4" s="2" t="s">
        <v>125</v>
      </c>
      <c r="E4" s="2" t="s">
        <v>126</v>
      </c>
      <c r="F4" s="2" t="s">
        <v>127</v>
      </c>
    </row>
    <row r="5" spans="1:10">
      <c r="A5" s="2" t="s">
        <v>4</v>
      </c>
      <c r="B5" s="2" t="s">
        <v>5</v>
      </c>
      <c r="C5" s="3" t="s">
        <v>8</v>
      </c>
      <c r="D5" s="3" t="s">
        <v>8</v>
      </c>
      <c r="E5" s="3" t="s">
        <v>8</v>
      </c>
      <c r="F5" s="73" t="s">
        <v>8</v>
      </c>
      <c r="G5" s="2" t="s">
        <v>128</v>
      </c>
    </row>
    <row r="6" spans="1:10" ht="15.75" customHeight="1">
      <c r="A6" s="4" t="s">
        <v>129</v>
      </c>
      <c r="B6" s="74" t="s">
        <v>10</v>
      </c>
      <c r="C6" s="9">
        <v>4.5900000000000003E-2</v>
      </c>
      <c r="D6" s="9">
        <v>0.25700000000000001</v>
      </c>
      <c r="E6" s="9">
        <v>0.34210000000000002</v>
      </c>
      <c r="F6" s="9">
        <v>0.20899999999999999</v>
      </c>
      <c r="G6" s="75">
        <f t="shared" ref="G6:G62" si="0">F6*6</f>
        <v>1.254</v>
      </c>
      <c r="H6" s="49"/>
    </row>
    <row r="7" spans="1:10" ht="15.75" customHeight="1">
      <c r="A7" s="4" t="s">
        <v>129</v>
      </c>
      <c r="B7" s="74" t="s">
        <v>11</v>
      </c>
      <c r="C7" s="9">
        <v>1.9800000000000002E-2</v>
      </c>
      <c r="D7" s="9">
        <v>0.1106</v>
      </c>
      <c r="E7" s="9">
        <v>0.25130000000000002</v>
      </c>
      <c r="F7" s="76">
        <v>0.1236</v>
      </c>
      <c r="G7" s="75">
        <f t="shared" si="0"/>
        <v>0.74160000000000004</v>
      </c>
      <c r="H7" s="49"/>
    </row>
    <row r="8" spans="1:10" ht="15.75" customHeight="1">
      <c r="A8" s="4" t="s">
        <v>129</v>
      </c>
      <c r="B8" s="74" t="s">
        <v>12</v>
      </c>
      <c r="C8" s="9">
        <v>0</v>
      </c>
      <c r="D8" s="9">
        <v>7.8100000000000003E-2</v>
      </c>
      <c r="E8" s="9">
        <v>0.26090000000000002</v>
      </c>
      <c r="F8" s="9">
        <v>0.1409</v>
      </c>
      <c r="G8" s="75">
        <f t="shared" si="0"/>
        <v>0.84539999999999993</v>
      </c>
      <c r="H8" s="49"/>
    </row>
    <row r="9" spans="1:10" ht="15.75" customHeight="1">
      <c r="A9" s="4" t="s">
        <v>129</v>
      </c>
      <c r="B9" s="74" t="s">
        <v>13</v>
      </c>
      <c r="C9" s="9">
        <v>8.8000000000000005E-3</v>
      </c>
      <c r="D9" s="9">
        <v>7.3400000000000007E-2</v>
      </c>
      <c r="E9" s="9">
        <v>0.72919999999999996</v>
      </c>
      <c r="F9" s="9">
        <v>0.24759999999999999</v>
      </c>
      <c r="G9" s="75">
        <f t="shared" si="0"/>
        <v>1.4855999999999998</v>
      </c>
      <c r="H9" s="49"/>
    </row>
    <row r="10" spans="1:10" ht="15.75" customHeight="1">
      <c r="A10" s="4" t="s">
        <v>129</v>
      </c>
      <c r="B10" s="74" t="s">
        <v>14</v>
      </c>
      <c r="C10" s="9">
        <v>2.0400000000000001E-2</v>
      </c>
      <c r="D10" s="9">
        <v>0.2472</v>
      </c>
      <c r="E10" s="9">
        <v>0.69489999999999996</v>
      </c>
      <c r="F10" s="9">
        <v>0.26419999999999999</v>
      </c>
      <c r="G10" s="75">
        <f t="shared" si="0"/>
        <v>1.5851999999999999</v>
      </c>
      <c r="H10" s="49"/>
    </row>
    <row r="11" spans="1:10" ht="15.75" customHeight="1">
      <c r="A11" s="4" t="s">
        <v>129</v>
      </c>
      <c r="B11" s="74" t="s">
        <v>15</v>
      </c>
      <c r="C11" s="9">
        <v>3.73E-2</v>
      </c>
      <c r="D11" s="9">
        <v>0.187</v>
      </c>
      <c r="E11" s="9">
        <v>0.43140000000000001</v>
      </c>
      <c r="F11" s="9">
        <v>0.2074</v>
      </c>
      <c r="G11" s="75">
        <f t="shared" si="0"/>
        <v>1.2444</v>
      </c>
      <c r="H11" s="49"/>
    </row>
    <row r="12" spans="1:10" ht="15.75" customHeight="1">
      <c r="A12" s="4" t="s">
        <v>129</v>
      </c>
      <c r="B12" s="74" t="s">
        <v>16</v>
      </c>
      <c r="C12" s="9">
        <v>3.5999999999999997E-2</v>
      </c>
      <c r="D12" s="9">
        <v>0.14580000000000001</v>
      </c>
      <c r="E12" s="9">
        <v>0.31719999999999998</v>
      </c>
      <c r="F12" s="9">
        <v>0.16819999999999999</v>
      </c>
      <c r="G12" s="75">
        <f t="shared" si="0"/>
        <v>1.0091999999999999</v>
      </c>
      <c r="H12" s="49"/>
    </row>
    <row r="13" spans="1:10" ht="15.75" customHeight="1">
      <c r="A13" s="4" t="s">
        <v>129</v>
      </c>
      <c r="B13" s="74" t="s">
        <v>17</v>
      </c>
      <c r="C13" s="9">
        <v>0</v>
      </c>
      <c r="D13" s="9">
        <v>0.1406</v>
      </c>
      <c r="E13" s="9">
        <v>0.32279999999999998</v>
      </c>
      <c r="F13" s="9">
        <v>0.1618</v>
      </c>
      <c r="G13" s="75">
        <f t="shared" si="0"/>
        <v>0.9708</v>
      </c>
      <c r="H13" s="49"/>
    </row>
    <row r="14" spans="1:10" ht="15.75" customHeight="1">
      <c r="A14" s="4" t="s">
        <v>129</v>
      </c>
      <c r="B14" s="77" t="s">
        <v>18</v>
      </c>
      <c r="C14" s="13">
        <v>2.47E-2</v>
      </c>
      <c r="D14" s="13">
        <v>0.15840000000000001</v>
      </c>
      <c r="E14" s="13">
        <v>0.37369999999999998</v>
      </c>
      <c r="F14" s="13">
        <v>0.18390000000000001</v>
      </c>
      <c r="G14" s="78">
        <f t="shared" si="0"/>
        <v>1.1034000000000002</v>
      </c>
      <c r="H14" s="49"/>
    </row>
    <row r="15" spans="1:10" ht="15.75" customHeight="1">
      <c r="A15" s="14" t="s">
        <v>52</v>
      </c>
      <c r="B15" s="74" t="s">
        <v>53</v>
      </c>
      <c r="C15" s="9">
        <v>0</v>
      </c>
      <c r="D15" s="9">
        <v>4.3200000000000002E-2</v>
      </c>
      <c r="E15" s="9">
        <v>0.29599999999999999</v>
      </c>
      <c r="F15" s="76">
        <v>9.2600000000000002E-2</v>
      </c>
      <c r="G15" s="75">
        <f t="shared" si="0"/>
        <v>0.55559999999999998</v>
      </c>
      <c r="H15" s="49"/>
    </row>
    <row r="16" spans="1:10" ht="15.75" customHeight="1">
      <c r="A16" s="14" t="s">
        <v>52</v>
      </c>
      <c r="B16" s="74" t="s">
        <v>54</v>
      </c>
      <c r="C16" s="9">
        <v>0</v>
      </c>
      <c r="D16" s="9">
        <v>3.8800000000000001E-2</v>
      </c>
      <c r="E16" s="9">
        <v>0.18179999999999999</v>
      </c>
      <c r="F16" s="76">
        <v>5.57E-2</v>
      </c>
      <c r="G16" s="75">
        <f t="shared" si="0"/>
        <v>0.3342</v>
      </c>
      <c r="H16" s="49"/>
    </row>
    <row r="17" spans="1:8" ht="15.75" customHeight="1">
      <c r="A17" s="14" t="s">
        <v>52</v>
      </c>
      <c r="B17" s="74" t="s">
        <v>55</v>
      </c>
      <c r="C17" s="9">
        <v>0</v>
      </c>
      <c r="D17" s="9">
        <v>4.9299999999999997E-2</v>
      </c>
      <c r="E17" s="9">
        <v>0.2319</v>
      </c>
      <c r="F17" s="76">
        <v>7.7100000000000002E-2</v>
      </c>
      <c r="G17" s="75">
        <f t="shared" si="0"/>
        <v>0.46260000000000001</v>
      </c>
      <c r="H17" s="49"/>
    </row>
    <row r="18" spans="1:8" ht="15.75" customHeight="1">
      <c r="A18" s="14" t="s">
        <v>52</v>
      </c>
      <c r="B18" s="74" t="s">
        <v>56</v>
      </c>
      <c r="C18" s="9">
        <v>0</v>
      </c>
      <c r="D18" s="9">
        <v>0.1129</v>
      </c>
      <c r="E18" s="9">
        <v>0.68659999999999999</v>
      </c>
      <c r="F18" s="9">
        <v>0.27460000000000001</v>
      </c>
      <c r="G18" s="75">
        <f t="shared" si="0"/>
        <v>1.6476000000000002</v>
      </c>
      <c r="H18" s="49"/>
    </row>
    <row r="19" spans="1:8" ht="15.75" customHeight="1">
      <c r="A19" s="14" t="s">
        <v>52</v>
      </c>
      <c r="B19" s="74" t="s">
        <v>57</v>
      </c>
      <c r="C19" s="9">
        <v>0</v>
      </c>
      <c r="D19" s="9">
        <v>1.83E-2</v>
      </c>
      <c r="E19" s="9">
        <v>0.1948</v>
      </c>
      <c r="F19" s="76">
        <v>5.1499999999999997E-2</v>
      </c>
      <c r="G19" s="75">
        <f t="shared" si="0"/>
        <v>0.309</v>
      </c>
      <c r="H19" s="49"/>
    </row>
    <row r="20" spans="1:8" ht="15.75" customHeight="1">
      <c r="A20" s="14" t="s">
        <v>52</v>
      </c>
      <c r="B20" s="74" t="s">
        <v>58</v>
      </c>
      <c r="C20" s="9">
        <v>0</v>
      </c>
      <c r="D20" s="9">
        <v>6.6699999999999995E-2</v>
      </c>
      <c r="E20" s="9">
        <v>0.18870000000000001</v>
      </c>
      <c r="F20" s="76">
        <v>7.5899999999999995E-2</v>
      </c>
      <c r="G20" s="75">
        <f t="shared" si="0"/>
        <v>0.45539999999999997</v>
      </c>
      <c r="H20" s="49"/>
    </row>
    <row r="21" spans="1:8" ht="15.75" customHeight="1">
      <c r="A21" s="14" t="s">
        <v>52</v>
      </c>
      <c r="B21" s="79" t="s">
        <v>59</v>
      </c>
      <c r="C21" s="13">
        <v>0</v>
      </c>
      <c r="D21" s="13">
        <v>5.0700000000000002E-2</v>
      </c>
      <c r="E21" s="13">
        <v>0.27979999999999999</v>
      </c>
      <c r="F21" s="80">
        <v>9.0700000000000003E-2</v>
      </c>
      <c r="G21" s="78">
        <f t="shared" si="0"/>
        <v>0.54420000000000002</v>
      </c>
      <c r="H21" s="49"/>
    </row>
    <row r="22" spans="1:8" ht="15.75" customHeight="1">
      <c r="A22" s="14" t="s">
        <v>130</v>
      </c>
      <c r="B22" s="81" t="s">
        <v>37</v>
      </c>
      <c r="C22" s="9">
        <v>7.1000000000000004E-3</v>
      </c>
      <c r="D22" s="9">
        <v>1.83E-2</v>
      </c>
      <c r="E22" s="9">
        <v>4.2299999999999997E-2</v>
      </c>
      <c r="F22" s="76">
        <v>1.8700000000000001E-2</v>
      </c>
      <c r="G22" s="75">
        <f t="shared" si="0"/>
        <v>0.11220000000000001</v>
      </c>
      <c r="H22" s="49"/>
    </row>
    <row r="23" spans="1:8" ht="15.75" customHeight="1">
      <c r="A23" s="14" t="s">
        <v>130</v>
      </c>
      <c r="B23" s="74" t="s">
        <v>38</v>
      </c>
      <c r="C23" s="9">
        <v>0</v>
      </c>
      <c r="D23" s="9">
        <v>2.2599999999999999E-2</v>
      </c>
      <c r="E23" s="9">
        <v>0.1149</v>
      </c>
      <c r="F23" s="76">
        <v>3.7900000000000003E-2</v>
      </c>
      <c r="G23" s="75">
        <f t="shared" si="0"/>
        <v>0.22740000000000002</v>
      </c>
      <c r="H23" s="49"/>
    </row>
    <row r="24" spans="1:8" ht="15.75" customHeight="1">
      <c r="A24" s="14" t="s">
        <v>130</v>
      </c>
      <c r="B24" s="81" t="s">
        <v>39</v>
      </c>
      <c r="C24" s="9">
        <v>1.46E-2</v>
      </c>
      <c r="D24" s="9">
        <v>4.1000000000000003E-3</v>
      </c>
      <c r="E24" s="9">
        <v>2.1499999999999998E-2</v>
      </c>
      <c r="F24" s="76">
        <v>1.26E-2</v>
      </c>
      <c r="G24" s="75">
        <f t="shared" si="0"/>
        <v>7.5600000000000001E-2</v>
      </c>
      <c r="H24" s="49"/>
    </row>
    <row r="25" spans="1:8" ht="28.2">
      <c r="A25" s="14" t="s">
        <v>130</v>
      </c>
      <c r="B25" s="81" t="s">
        <v>40</v>
      </c>
      <c r="C25" s="9">
        <v>5.1000000000000004E-3</v>
      </c>
      <c r="D25" s="9">
        <v>1.8100000000000002E-2</v>
      </c>
      <c r="E25" s="9">
        <v>1.47E-2</v>
      </c>
      <c r="F25" s="76">
        <v>1.3299999999999999E-2</v>
      </c>
      <c r="G25" s="75">
        <f t="shared" si="0"/>
        <v>7.9799999999999996E-2</v>
      </c>
      <c r="H25" s="49"/>
    </row>
    <row r="26" spans="1:8" ht="28.2">
      <c r="A26" s="14" t="s">
        <v>130</v>
      </c>
      <c r="B26" s="81" t="s">
        <v>41</v>
      </c>
      <c r="C26" s="9">
        <v>7.9000000000000008E-3</v>
      </c>
      <c r="D26" s="9">
        <v>0</v>
      </c>
      <c r="E26" s="9">
        <v>2.01E-2</v>
      </c>
      <c r="F26" s="76">
        <v>7.6E-3</v>
      </c>
      <c r="G26" s="75">
        <f t="shared" si="0"/>
        <v>4.5600000000000002E-2</v>
      </c>
      <c r="H26" s="49"/>
    </row>
    <row r="27" spans="1:8" ht="28.2">
      <c r="A27" s="14" t="s">
        <v>130</v>
      </c>
      <c r="B27" s="81" t="s">
        <v>42</v>
      </c>
      <c r="C27" s="9">
        <v>4.7000000000000002E-3</v>
      </c>
      <c r="D27" s="9">
        <v>0</v>
      </c>
      <c r="E27" s="9">
        <v>1.0200000000000001E-2</v>
      </c>
      <c r="F27" s="76">
        <v>4.3E-3</v>
      </c>
      <c r="G27" s="75">
        <f t="shared" si="0"/>
        <v>2.58E-2</v>
      </c>
      <c r="H27" s="49"/>
    </row>
    <row r="28" spans="1:8" ht="28.8">
      <c r="A28" s="14" t="s">
        <v>130</v>
      </c>
      <c r="B28" s="79" t="s">
        <v>131</v>
      </c>
      <c r="C28" s="13">
        <v>6.1999999999999998E-3</v>
      </c>
      <c r="D28" s="13">
        <v>1.06E-2</v>
      </c>
      <c r="E28" s="13">
        <v>3.8699999999999998E-2</v>
      </c>
      <c r="F28" s="80">
        <v>1.67E-2</v>
      </c>
      <c r="G28" s="78">
        <f t="shared" si="0"/>
        <v>0.1002</v>
      </c>
      <c r="H28" s="49"/>
    </row>
    <row r="29" spans="1:8" ht="28.2">
      <c r="A29" s="14" t="s">
        <v>132</v>
      </c>
      <c r="B29" s="74" t="s">
        <v>20</v>
      </c>
      <c r="C29" s="9">
        <v>0</v>
      </c>
      <c r="D29" s="9">
        <v>3.2599999999999997E-2</v>
      </c>
      <c r="E29" s="9">
        <v>0.78949999999999998</v>
      </c>
      <c r="F29" s="9">
        <v>0.32890000000000003</v>
      </c>
      <c r="G29" s="75">
        <f t="shared" si="0"/>
        <v>1.9734000000000003</v>
      </c>
      <c r="H29" s="49"/>
    </row>
    <row r="30" spans="1:8" ht="28.2">
      <c r="A30" s="14" t="s">
        <v>132</v>
      </c>
      <c r="B30" s="74" t="s">
        <v>21</v>
      </c>
      <c r="C30" s="9">
        <v>4.4299999999999999E-2</v>
      </c>
      <c r="D30" s="9">
        <v>7.4399999999999994E-2</v>
      </c>
      <c r="E30" s="9">
        <v>0.60240000000000005</v>
      </c>
      <c r="F30" s="9">
        <v>0.22539999999999999</v>
      </c>
      <c r="G30" s="75">
        <f t="shared" si="0"/>
        <v>1.3523999999999998</v>
      </c>
      <c r="H30" s="49"/>
    </row>
    <row r="31" spans="1:8" ht="28.2">
      <c r="A31" s="14" t="s">
        <v>132</v>
      </c>
      <c r="B31" s="74" t="s">
        <v>22</v>
      </c>
      <c r="C31" s="9">
        <v>0</v>
      </c>
      <c r="D31" s="9">
        <v>9.7000000000000003E-3</v>
      </c>
      <c r="E31" s="9">
        <v>0.67459999999999998</v>
      </c>
      <c r="F31" s="9">
        <v>0.30590000000000001</v>
      </c>
      <c r="G31" s="75">
        <f t="shared" si="0"/>
        <v>1.8353999999999999</v>
      </c>
      <c r="H31" s="49"/>
    </row>
    <row r="32" spans="1:8" ht="28.2">
      <c r="A32" s="14" t="s">
        <v>132</v>
      </c>
      <c r="B32" s="74" t="s">
        <v>23</v>
      </c>
      <c r="C32" s="9">
        <v>0</v>
      </c>
      <c r="D32" s="9">
        <v>9.35E-2</v>
      </c>
      <c r="E32" s="9">
        <v>0.66390000000000005</v>
      </c>
      <c r="F32" s="9">
        <v>0.23350000000000001</v>
      </c>
      <c r="G32" s="75">
        <f t="shared" si="0"/>
        <v>1.401</v>
      </c>
      <c r="H32" s="49"/>
    </row>
    <row r="33" spans="1:8" ht="28.2">
      <c r="A33" s="14" t="s">
        <v>132</v>
      </c>
      <c r="B33" s="74" t="s">
        <v>24</v>
      </c>
      <c r="C33" s="9">
        <v>0</v>
      </c>
      <c r="D33" s="9">
        <v>1.54E-2</v>
      </c>
      <c r="E33" s="9">
        <v>0.70589999999999997</v>
      </c>
      <c r="F33" s="9">
        <v>0.17460000000000001</v>
      </c>
      <c r="G33" s="75">
        <f t="shared" si="0"/>
        <v>1.0476000000000001</v>
      </c>
      <c r="H33" s="49"/>
    </row>
    <row r="34" spans="1:8" ht="28.2">
      <c r="A34" s="14" t="s">
        <v>132</v>
      </c>
      <c r="B34" s="74" t="s">
        <v>25</v>
      </c>
      <c r="C34" s="9">
        <v>0</v>
      </c>
      <c r="D34" s="9">
        <v>2.9600000000000001E-2</v>
      </c>
      <c r="E34" s="9">
        <v>0.71750000000000003</v>
      </c>
      <c r="F34" s="9">
        <v>0.2266</v>
      </c>
      <c r="G34" s="75">
        <f t="shared" si="0"/>
        <v>1.3595999999999999</v>
      </c>
      <c r="H34" s="49"/>
    </row>
    <row r="35" spans="1:8" ht="28.2">
      <c r="A35" s="14" t="s">
        <v>132</v>
      </c>
      <c r="B35" s="74" t="s">
        <v>26</v>
      </c>
      <c r="C35" s="9">
        <v>0</v>
      </c>
      <c r="D35" s="9">
        <v>7.4999999999999997E-3</v>
      </c>
      <c r="E35" s="9">
        <v>0.81279999999999997</v>
      </c>
      <c r="F35" s="9">
        <v>0.35659999999999997</v>
      </c>
      <c r="G35" s="75">
        <f t="shared" si="0"/>
        <v>2.1395999999999997</v>
      </c>
      <c r="H35" s="49"/>
    </row>
    <row r="36" spans="1:8" ht="28.2">
      <c r="A36" s="14" t="s">
        <v>132</v>
      </c>
      <c r="B36" s="74" t="s">
        <v>27</v>
      </c>
      <c r="C36" s="9">
        <v>0</v>
      </c>
      <c r="D36" s="9">
        <v>2.7699999999999999E-2</v>
      </c>
      <c r="E36" s="9">
        <v>0.64290000000000003</v>
      </c>
      <c r="F36" s="9">
        <v>0.19120000000000001</v>
      </c>
      <c r="G36" s="75">
        <f t="shared" si="0"/>
        <v>1.1472</v>
      </c>
      <c r="H36" s="49"/>
    </row>
    <row r="37" spans="1:8" ht="28.2">
      <c r="A37" s="14" t="s">
        <v>132</v>
      </c>
      <c r="B37" s="74" t="s">
        <v>28</v>
      </c>
      <c r="C37" s="9">
        <v>2.2499999999999999E-2</v>
      </c>
      <c r="D37" s="9">
        <v>3.4099999999999998E-2</v>
      </c>
      <c r="E37" s="9">
        <v>0.62339999999999995</v>
      </c>
      <c r="F37" s="9">
        <v>0.2087</v>
      </c>
      <c r="G37" s="75">
        <f t="shared" si="0"/>
        <v>1.2522</v>
      </c>
      <c r="H37" s="49"/>
    </row>
    <row r="38" spans="1:8" ht="28.2">
      <c r="A38" s="14" t="s">
        <v>132</v>
      </c>
      <c r="B38" s="74" t="s">
        <v>29</v>
      </c>
      <c r="C38" s="9">
        <v>0</v>
      </c>
      <c r="D38" s="9">
        <v>0</v>
      </c>
      <c r="E38" s="9">
        <v>0.4909</v>
      </c>
      <c r="F38" s="9">
        <v>0.25530000000000003</v>
      </c>
      <c r="G38" s="75">
        <f t="shared" si="0"/>
        <v>1.5318000000000001</v>
      </c>
      <c r="H38" s="49"/>
    </row>
    <row r="39" spans="1:8" ht="28.2">
      <c r="A39" s="14" t="s">
        <v>132</v>
      </c>
      <c r="B39" s="74" t="s">
        <v>30</v>
      </c>
      <c r="C39" s="9">
        <v>0</v>
      </c>
      <c r="D39" s="9">
        <v>5.2600000000000001E-2</v>
      </c>
      <c r="E39" s="9">
        <v>0.68289999999999995</v>
      </c>
      <c r="F39" s="9">
        <v>0.23449999999999999</v>
      </c>
      <c r="G39" s="75">
        <f t="shared" si="0"/>
        <v>1.407</v>
      </c>
      <c r="H39" s="49"/>
    </row>
    <row r="40" spans="1:8" ht="28.8">
      <c r="A40" s="14" t="s">
        <v>132</v>
      </c>
      <c r="B40" s="79" t="s">
        <v>31</v>
      </c>
      <c r="C40" s="13">
        <v>7.6E-3</v>
      </c>
      <c r="D40" s="13">
        <v>3.8199999999999998E-2</v>
      </c>
      <c r="E40" s="13">
        <v>0.66679999999999995</v>
      </c>
      <c r="F40" s="13">
        <v>0.24249999999999999</v>
      </c>
      <c r="G40" s="78">
        <f t="shared" si="0"/>
        <v>1.4550000000000001</v>
      </c>
      <c r="H40" s="49"/>
    </row>
    <row r="41" spans="1:8" ht="28.2">
      <c r="A41" s="14" t="s">
        <v>44</v>
      </c>
      <c r="B41" s="81" t="s">
        <v>45</v>
      </c>
      <c r="C41" s="9">
        <v>5.4999999999999997E-3</v>
      </c>
      <c r="D41" s="9">
        <v>1.01E-2</v>
      </c>
      <c r="E41" s="9">
        <v>7.9699999999999993E-2</v>
      </c>
      <c r="F41" s="76">
        <v>2.7E-2</v>
      </c>
      <c r="G41" s="75">
        <f t="shared" si="0"/>
        <v>0.16200000000000001</v>
      </c>
      <c r="H41" s="49"/>
    </row>
    <row r="42" spans="1:8" ht="28.2">
      <c r="A42" s="14" t="s">
        <v>44</v>
      </c>
      <c r="B42" s="74" t="s">
        <v>46</v>
      </c>
      <c r="C42" s="9">
        <v>0</v>
      </c>
      <c r="D42" s="9">
        <v>0</v>
      </c>
      <c r="E42" s="9">
        <v>0.1613</v>
      </c>
      <c r="F42" s="76">
        <v>4.3400000000000001E-2</v>
      </c>
      <c r="G42" s="75">
        <f t="shared" si="0"/>
        <v>0.26040000000000002</v>
      </c>
      <c r="H42" s="49"/>
    </row>
    <row r="43" spans="1:8" ht="28.2">
      <c r="A43" s="14" t="s">
        <v>44</v>
      </c>
      <c r="B43" s="81" t="s">
        <v>47</v>
      </c>
      <c r="C43" s="9">
        <v>8.6999999999999994E-3</v>
      </c>
      <c r="D43" s="9">
        <v>1.43E-2</v>
      </c>
      <c r="E43" s="9">
        <v>9.9000000000000005E-2</v>
      </c>
      <c r="F43" s="76">
        <v>3.6499999999999998E-2</v>
      </c>
      <c r="G43" s="75">
        <f t="shared" si="0"/>
        <v>0.21899999999999997</v>
      </c>
      <c r="H43" s="49"/>
    </row>
    <row r="44" spans="1:8" ht="28.2">
      <c r="A44" s="14" t="s">
        <v>44</v>
      </c>
      <c r="B44" s="74" t="s">
        <v>48</v>
      </c>
      <c r="C44" s="9">
        <v>0</v>
      </c>
      <c r="D44" s="9">
        <v>2.0199999999999999E-2</v>
      </c>
      <c r="E44" s="9">
        <v>0.2099</v>
      </c>
      <c r="F44" s="76">
        <v>6.7100000000000007E-2</v>
      </c>
      <c r="G44" s="75">
        <f t="shared" si="0"/>
        <v>0.40260000000000007</v>
      </c>
      <c r="H44" s="49"/>
    </row>
    <row r="45" spans="1:8" ht="28.2">
      <c r="A45" s="14" t="s">
        <v>44</v>
      </c>
      <c r="B45" s="74" t="s">
        <v>49</v>
      </c>
      <c r="C45" s="9">
        <v>2.1299999999999999E-2</v>
      </c>
      <c r="D45" s="9">
        <v>0.25490000000000002</v>
      </c>
      <c r="E45" s="9">
        <v>0.65790000000000004</v>
      </c>
      <c r="F45" s="9">
        <v>0.2868</v>
      </c>
      <c r="G45" s="75">
        <f t="shared" si="0"/>
        <v>1.7208000000000001</v>
      </c>
      <c r="H45" s="49"/>
    </row>
    <row r="46" spans="1:8" ht="28.2">
      <c r="A46" s="14" t="s">
        <v>44</v>
      </c>
      <c r="B46" s="74" t="s">
        <v>50</v>
      </c>
      <c r="C46" s="9">
        <v>7.3300000000000004E-2</v>
      </c>
      <c r="D46" s="9">
        <v>0.1244</v>
      </c>
      <c r="E46" s="9">
        <v>0.19170000000000001</v>
      </c>
      <c r="F46" s="76">
        <v>0.1211</v>
      </c>
      <c r="G46" s="75">
        <f t="shared" si="0"/>
        <v>0.72660000000000002</v>
      </c>
      <c r="H46" s="49"/>
    </row>
    <row r="47" spans="1:8" ht="28.8">
      <c r="A47" s="14" t="s">
        <v>44</v>
      </c>
      <c r="B47" s="79" t="s">
        <v>51</v>
      </c>
      <c r="C47" s="13">
        <v>2.2100000000000002E-2</v>
      </c>
      <c r="D47" s="13">
        <v>5.4199999999999998E-2</v>
      </c>
      <c r="E47" s="13">
        <v>0.1769</v>
      </c>
      <c r="F47" s="80">
        <v>7.5300000000000006E-2</v>
      </c>
      <c r="G47" s="78">
        <f t="shared" si="0"/>
        <v>0.45180000000000003</v>
      </c>
      <c r="H47" s="49"/>
    </row>
    <row r="48" spans="1:8" ht="42">
      <c r="A48" s="14" t="s">
        <v>32</v>
      </c>
      <c r="B48" s="81" t="s">
        <v>33</v>
      </c>
      <c r="C48" s="9">
        <v>0</v>
      </c>
      <c r="D48" s="9">
        <v>2.1000000000000001E-2</v>
      </c>
      <c r="E48" s="9">
        <v>1.47E-2</v>
      </c>
      <c r="F48" s="76">
        <v>1.3299999999999999E-2</v>
      </c>
      <c r="G48" s="75">
        <f t="shared" si="0"/>
        <v>7.9799999999999996E-2</v>
      </c>
      <c r="H48" s="49"/>
    </row>
    <row r="49" spans="1:8" ht="28.2">
      <c r="A49" s="14" t="s">
        <v>32</v>
      </c>
      <c r="B49" s="74" t="s">
        <v>34</v>
      </c>
      <c r="C49" s="9">
        <v>4.4999999999999997E-3</v>
      </c>
      <c r="D49" s="9">
        <v>2.23E-2</v>
      </c>
      <c r="E49" s="9">
        <v>0.19409999999999999</v>
      </c>
      <c r="F49" s="76">
        <v>8.43E-2</v>
      </c>
      <c r="G49" s="75">
        <f t="shared" si="0"/>
        <v>0.50580000000000003</v>
      </c>
      <c r="H49" s="49"/>
    </row>
    <row r="50" spans="1:8" ht="28.2">
      <c r="A50" s="14" t="s">
        <v>32</v>
      </c>
      <c r="B50" s="79" t="s">
        <v>35</v>
      </c>
      <c r="C50" s="13">
        <v>2.5999999999999999E-3</v>
      </c>
      <c r="D50" s="13">
        <v>2.1700000000000001E-2</v>
      </c>
      <c r="E50" s="13">
        <v>0.1142</v>
      </c>
      <c r="F50" s="80">
        <v>5.33E-2</v>
      </c>
      <c r="G50" s="78">
        <f t="shared" si="0"/>
        <v>0.31979999999999997</v>
      </c>
      <c r="H50" s="49"/>
    </row>
    <row r="51" spans="1:8" ht="28.2">
      <c r="A51" s="14" t="s">
        <v>66</v>
      </c>
      <c r="B51" s="74" t="s">
        <v>67</v>
      </c>
      <c r="C51" s="9">
        <v>0.15690000000000001</v>
      </c>
      <c r="D51" s="9">
        <v>0.1923</v>
      </c>
      <c r="E51" s="9">
        <v>0.2596</v>
      </c>
      <c r="F51" s="9">
        <v>0.20319999999999999</v>
      </c>
      <c r="G51" s="75">
        <f t="shared" si="0"/>
        <v>1.2191999999999998</v>
      </c>
      <c r="H51" s="49"/>
    </row>
    <row r="52" spans="1:8" ht="28.2">
      <c r="A52" s="14" t="s">
        <v>66</v>
      </c>
      <c r="B52" s="74" t="s">
        <v>68</v>
      </c>
      <c r="C52" s="9">
        <v>0</v>
      </c>
      <c r="D52" s="9">
        <v>6.0199999999999997E-2</v>
      </c>
      <c r="E52" s="9">
        <v>0.1739</v>
      </c>
      <c r="F52" s="76">
        <v>7.0800000000000002E-2</v>
      </c>
      <c r="G52" s="75">
        <f t="shared" si="0"/>
        <v>0.42480000000000001</v>
      </c>
      <c r="H52" s="49"/>
    </row>
    <row r="53" spans="1:8" ht="28.2">
      <c r="A53" s="14" t="s">
        <v>66</v>
      </c>
      <c r="B53" s="74" t="s">
        <v>69</v>
      </c>
      <c r="C53" s="9">
        <v>1.2800000000000001E-2</v>
      </c>
      <c r="D53" s="9">
        <v>7.7999999999999996E-3</v>
      </c>
      <c r="E53" s="9">
        <v>0.26090000000000002</v>
      </c>
      <c r="F53" s="76">
        <v>7.1599999999999997E-2</v>
      </c>
      <c r="G53" s="75">
        <f t="shared" si="0"/>
        <v>0.42959999999999998</v>
      </c>
      <c r="H53" s="49"/>
    </row>
    <row r="54" spans="1:8" ht="28.2">
      <c r="A54" s="14" t="s">
        <v>66</v>
      </c>
      <c r="B54" s="74" t="s">
        <v>70</v>
      </c>
      <c r="C54" s="9">
        <v>8.0999999999999996E-3</v>
      </c>
      <c r="D54" s="9">
        <v>4.3499999999999997E-2</v>
      </c>
      <c r="E54" s="9">
        <v>0.3846</v>
      </c>
      <c r="F54" s="76">
        <v>0.10199999999999999</v>
      </c>
      <c r="G54" s="75">
        <f t="shared" si="0"/>
        <v>0.61199999999999999</v>
      </c>
      <c r="H54" s="49"/>
    </row>
    <row r="55" spans="1:8" ht="28.2">
      <c r="A55" s="14" t="s">
        <v>66</v>
      </c>
      <c r="B55" s="74" t="s">
        <v>71</v>
      </c>
      <c r="C55" s="9">
        <v>5.2999999999999999E-2</v>
      </c>
      <c r="D55" s="9">
        <v>0.31180000000000002</v>
      </c>
      <c r="E55" s="9">
        <v>0.41860000000000003</v>
      </c>
      <c r="F55" s="9">
        <v>0.23150000000000001</v>
      </c>
      <c r="G55" s="75">
        <f t="shared" si="0"/>
        <v>1.389</v>
      </c>
      <c r="H55" s="49"/>
    </row>
    <row r="56" spans="1:8" ht="28.8">
      <c r="A56" s="14" t="s">
        <v>66</v>
      </c>
      <c r="B56" s="79" t="s">
        <v>72</v>
      </c>
      <c r="C56" s="13">
        <v>4.3200000000000002E-2</v>
      </c>
      <c r="D56" s="13">
        <v>0.1145</v>
      </c>
      <c r="E56" s="13">
        <v>0.29809999999999998</v>
      </c>
      <c r="F56" s="13">
        <v>0.13619999999999999</v>
      </c>
      <c r="G56" s="78">
        <f t="shared" si="0"/>
        <v>0.81719999999999993</v>
      </c>
      <c r="H56" s="49"/>
    </row>
    <row r="57" spans="1:8" ht="28.2">
      <c r="A57" s="14" t="s">
        <v>60</v>
      </c>
      <c r="B57" s="82" t="s">
        <v>61</v>
      </c>
      <c r="C57" s="9">
        <v>1.14E-2</v>
      </c>
      <c r="D57" s="9">
        <v>4.1700000000000001E-2</v>
      </c>
      <c r="E57" s="9">
        <v>0.24429999999999999</v>
      </c>
      <c r="F57" s="76">
        <v>8.6300000000000002E-2</v>
      </c>
      <c r="G57" s="75">
        <f t="shared" si="0"/>
        <v>0.51780000000000004</v>
      </c>
      <c r="H57" s="49"/>
    </row>
    <row r="58" spans="1:8" ht="28.2">
      <c r="A58" s="14" t="s">
        <v>60</v>
      </c>
      <c r="B58" s="81" t="s">
        <v>62</v>
      </c>
      <c r="C58" s="9">
        <v>3.49E-2</v>
      </c>
      <c r="D58" s="9">
        <v>4.3499999999999997E-2</v>
      </c>
      <c r="E58" s="9">
        <v>6.9000000000000006E-2</v>
      </c>
      <c r="F58" s="76">
        <v>4.9599999999999998E-2</v>
      </c>
      <c r="G58" s="75">
        <f t="shared" si="0"/>
        <v>0.29759999999999998</v>
      </c>
      <c r="H58" s="49"/>
    </row>
    <row r="59" spans="1:8" ht="28.2">
      <c r="A59" s="14" t="s">
        <v>60</v>
      </c>
      <c r="B59" s="82" t="s">
        <v>63</v>
      </c>
      <c r="C59" s="9">
        <v>5.7000000000000002E-3</v>
      </c>
      <c r="D59" s="9">
        <v>2.5600000000000001E-2</v>
      </c>
      <c r="E59" s="9">
        <v>0.1401</v>
      </c>
      <c r="F59" s="76">
        <v>5.5300000000000002E-2</v>
      </c>
      <c r="G59" s="75">
        <f t="shared" si="0"/>
        <v>0.33179999999999998</v>
      </c>
      <c r="H59" s="49"/>
    </row>
    <row r="60" spans="1:8" ht="28.2">
      <c r="A60" s="14" t="s">
        <v>60</v>
      </c>
      <c r="B60" s="74" t="s">
        <v>64</v>
      </c>
      <c r="C60" s="9">
        <v>5.7000000000000002E-3</v>
      </c>
      <c r="D60" s="9">
        <v>0</v>
      </c>
      <c r="E60" s="9">
        <v>0.1333</v>
      </c>
      <c r="F60" s="76">
        <v>2.8899999999999999E-2</v>
      </c>
      <c r="G60" s="75">
        <f t="shared" si="0"/>
        <v>0.1734</v>
      </c>
      <c r="H60" s="49"/>
    </row>
    <row r="61" spans="1:8" ht="28.8">
      <c r="A61" s="14" t="s">
        <v>60</v>
      </c>
      <c r="B61" s="79" t="s">
        <v>65</v>
      </c>
      <c r="C61" s="13">
        <v>1.0200000000000001E-2</v>
      </c>
      <c r="D61" s="13">
        <v>2.64E-2</v>
      </c>
      <c r="E61" s="13">
        <v>0.15160000000000001</v>
      </c>
      <c r="F61" s="80">
        <v>5.6899999999999999E-2</v>
      </c>
      <c r="G61" s="78">
        <f t="shared" si="0"/>
        <v>0.34139999999999998</v>
      </c>
      <c r="H61" s="49"/>
    </row>
    <row r="62" spans="1:8" ht="15.6">
      <c r="A62" s="83" t="s">
        <v>73</v>
      </c>
      <c r="B62" s="84" t="s">
        <v>74</v>
      </c>
      <c r="C62" s="13">
        <v>1.3299999999999999E-2</v>
      </c>
      <c r="D62" s="13">
        <v>5.6500000000000002E-2</v>
      </c>
      <c r="E62" s="13">
        <v>0.32590000000000002</v>
      </c>
      <c r="F62" s="80">
        <v>0.1237</v>
      </c>
      <c r="G62" s="78">
        <f t="shared" si="0"/>
        <v>0.74219999999999997</v>
      </c>
      <c r="H62" s="49"/>
    </row>
    <row r="63" spans="1:8" ht="14.4">
      <c r="C63" s="72"/>
      <c r="D63" s="72"/>
      <c r="E63" s="72"/>
      <c r="F63" s="72"/>
    </row>
    <row r="64" spans="1:8" ht="13.2">
      <c r="B64" s="85" t="s">
        <v>133</v>
      </c>
      <c r="C64" s="85" t="s">
        <v>134</v>
      </c>
      <c r="D64" s="85" t="s">
        <v>135</v>
      </c>
      <c r="E64" s="85">
        <f>F62*6</f>
        <v>0.74219999999999997</v>
      </c>
    </row>
  </sheetData>
  <mergeCells count="4">
    <mergeCell ref="A1:F1"/>
    <mergeCell ref="B2:F2"/>
    <mergeCell ref="A3:F3"/>
    <mergeCell ref="A4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00"/>
  <sheetViews>
    <sheetView workbookViewId="0"/>
  </sheetViews>
  <sheetFormatPr defaultColWidth="12.6640625" defaultRowHeight="15.75" customHeight="1"/>
  <sheetData>
    <row r="1" spans="1:8">
      <c r="G1" s="49"/>
    </row>
    <row r="2" spans="1:8" ht="15.75" customHeight="1">
      <c r="A2" s="93" t="s">
        <v>90</v>
      </c>
      <c r="B2" s="87"/>
      <c r="C2" s="87"/>
      <c r="D2" s="87"/>
      <c r="E2" s="87"/>
      <c r="F2" s="87"/>
      <c r="G2" s="87"/>
      <c r="H2" s="87"/>
    </row>
    <row r="3" spans="1:8" ht="15.75" customHeight="1">
      <c r="A3" s="94" t="s">
        <v>94</v>
      </c>
      <c r="B3" s="97" t="s">
        <v>95</v>
      </c>
      <c r="C3" s="98" t="s">
        <v>96</v>
      </c>
      <c r="D3" s="102" t="s">
        <v>136</v>
      </c>
      <c r="E3" s="100"/>
      <c r="F3" s="100"/>
      <c r="G3" s="100"/>
      <c r="H3" s="101"/>
    </row>
    <row r="4" spans="1:8" ht="15.75" customHeight="1">
      <c r="A4" s="95"/>
      <c r="B4" s="95"/>
      <c r="C4" s="95"/>
      <c r="D4" s="41">
        <v>45778</v>
      </c>
      <c r="E4" s="42" t="s">
        <v>99</v>
      </c>
      <c r="F4" s="42" t="s">
        <v>100</v>
      </c>
      <c r="G4" s="43" t="s">
        <v>101</v>
      </c>
      <c r="H4" s="43" t="s">
        <v>102</v>
      </c>
    </row>
    <row r="5" spans="1:8" ht="15.75" customHeight="1">
      <c r="A5" s="96"/>
      <c r="B5" s="96"/>
      <c r="C5" s="96"/>
      <c r="D5" s="42" t="s">
        <v>104</v>
      </c>
      <c r="E5" s="42" t="s">
        <v>104</v>
      </c>
      <c r="F5" s="42" t="s">
        <v>105</v>
      </c>
      <c r="G5" s="43" t="s">
        <v>106</v>
      </c>
      <c r="H5" s="43" t="s">
        <v>108</v>
      </c>
    </row>
    <row r="6" spans="1:8" ht="15.75" customHeight="1">
      <c r="A6" s="44">
        <v>1</v>
      </c>
      <c r="B6" s="11" t="s">
        <v>9</v>
      </c>
      <c r="C6" s="45" t="s">
        <v>10</v>
      </c>
      <c r="D6" s="47">
        <v>140</v>
      </c>
      <c r="E6" s="47">
        <v>168</v>
      </c>
      <c r="F6" s="47">
        <f t="shared" ref="F6:F69" si="0">E6-D6</f>
        <v>28</v>
      </c>
      <c r="G6" s="48">
        <f t="shared" ref="G6:G13" si="1">F6/D6%</f>
        <v>20</v>
      </c>
      <c r="H6" s="48">
        <f t="shared" ref="H6:H69" si="2">MIN(5,MAX(0,G6*5/100))</f>
        <v>1</v>
      </c>
    </row>
    <row r="7" spans="1:8" ht="15.75" customHeight="1">
      <c r="A7" s="44">
        <v>2</v>
      </c>
      <c r="B7" s="11" t="s">
        <v>9</v>
      </c>
      <c r="C7" s="45" t="s">
        <v>11</v>
      </c>
      <c r="D7" s="47">
        <v>105</v>
      </c>
      <c r="E7" s="47">
        <v>62</v>
      </c>
      <c r="F7" s="47">
        <f t="shared" si="0"/>
        <v>-43</v>
      </c>
      <c r="G7" s="48">
        <f t="shared" si="1"/>
        <v>-40.952380952380949</v>
      </c>
      <c r="H7" s="48">
        <f t="shared" si="2"/>
        <v>0</v>
      </c>
    </row>
    <row r="8" spans="1:8" ht="15.75" customHeight="1">
      <c r="A8" s="44">
        <v>3</v>
      </c>
      <c r="B8" s="11" t="s">
        <v>9</v>
      </c>
      <c r="C8" s="45" t="s">
        <v>17</v>
      </c>
      <c r="D8" s="47">
        <v>542</v>
      </c>
      <c r="E8" s="47">
        <v>642</v>
      </c>
      <c r="F8" s="47">
        <f t="shared" si="0"/>
        <v>100</v>
      </c>
      <c r="G8" s="48">
        <f t="shared" si="1"/>
        <v>18.450184501845019</v>
      </c>
      <c r="H8" s="48">
        <f t="shared" si="2"/>
        <v>0.92250922509225086</v>
      </c>
    </row>
    <row r="9" spans="1:8" ht="15.75" customHeight="1">
      <c r="A9" s="44">
        <v>4</v>
      </c>
      <c r="B9" s="11" t="s">
        <v>9</v>
      </c>
      <c r="C9" s="50" t="s">
        <v>12</v>
      </c>
      <c r="D9" s="51">
        <v>196</v>
      </c>
      <c r="E9" s="51">
        <v>66</v>
      </c>
      <c r="F9" s="47">
        <f t="shared" si="0"/>
        <v>-130</v>
      </c>
      <c r="G9" s="48">
        <f t="shared" si="1"/>
        <v>-66.326530612244895</v>
      </c>
      <c r="H9" s="48">
        <f t="shared" si="2"/>
        <v>0</v>
      </c>
    </row>
    <row r="10" spans="1:8" ht="15.75" customHeight="1">
      <c r="A10" s="44">
        <v>5</v>
      </c>
      <c r="B10" s="11" t="s">
        <v>9</v>
      </c>
      <c r="C10" s="50" t="s">
        <v>13</v>
      </c>
      <c r="D10" s="51">
        <v>1</v>
      </c>
      <c r="E10" s="51">
        <v>3</v>
      </c>
      <c r="F10" s="47">
        <f t="shared" si="0"/>
        <v>2</v>
      </c>
      <c r="G10" s="48">
        <f t="shared" si="1"/>
        <v>200</v>
      </c>
      <c r="H10" s="48">
        <f t="shared" si="2"/>
        <v>5</v>
      </c>
    </row>
    <row r="11" spans="1:8" ht="15.75" customHeight="1">
      <c r="A11" s="44">
        <v>6</v>
      </c>
      <c r="B11" s="11" t="s">
        <v>9</v>
      </c>
      <c r="C11" s="50" t="s">
        <v>14</v>
      </c>
      <c r="D11" s="51">
        <v>4</v>
      </c>
      <c r="E11" s="51">
        <v>5</v>
      </c>
      <c r="F11" s="47">
        <f t="shared" si="0"/>
        <v>1</v>
      </c>
      <c r="G11" s="48">
        <f t="shared" si="1"/>
        <v>25</v>
      </c>
      <c r="H11" s="48">
        <f t="shared" si="2"/>
        <v>1.25</v>
      </c>
    </row>
    <row r="12" spans="1:8" ht="15.75" customHeight="1">
      <c r="A12" s="44">
        <v>7</v>
      </c>
      <c r="B12" s="11" t="s">
        <v>9</v>
      </c>
      <c r="C12" s="50" t="s">
        <v>15</v>
      </c>
      <c r="D12" s="51">
        <v>28</v>
      </c>
      <c r="E12" s="51">
        <v>16</v>
      </c>
      <c r="F12" s="47">
        <f t="shared" si="0"/>
        <v>-12</v>
      </c>
      <c r="G12" s="48">
        <f t="shared" si="1"/>
        <v>-42.857142857142854</v>
      </c>
      <c r="H12" s="48">
        <f t="shared" si="2"/>
        <v>0</v>
      </c>
    </row>
    <row r="13" spans="1:8" ht="15.75" customHeight="1">
      <c r="A13" s="44">
        <v>8</v>
      </c>
      <c r="B13" s="11" t="s">
        <v>9</v>
      </c>
      <c r="C13" s="50" t="s">
        <v>16</v>
      </c>
      <c r="D13" s="51">
        <v>20</v>
      </c>
      <c r="E13" s="51">
        <v>13</v>
      </c>
      <c r="F13" s="47">
        <f t="shared" si="0"/>
        <v>-7</v>
      </c>
      <c r="G13" s="48">
        <f t="shared" si="1"/>
        <v>-35</v>
      </c>
      <c r="H13" s="48">
        <f t="shared" si="2"/>
        <v>0</v>
      </c>
    </row>
    <row r="14" spans="1:8" ht="15.75" customHeight="1">
      <c r="A14" s="44">
        <v>9</v>
      </c>
      <c r="B14" s="11" t="s">
        <v>9</v>
      </c>
      <c r="C14" s="50" t="s">
        <v>109</v>
      </c>
      <c r="D14" s="51">
        <v>0</v>
      </c>
      <c r="E14" s="51">
        <v>5</v>
      </c>
      <c r="F14" s="47">
        <f t="shared" si="0"/>
        <v>5</v>
      </c>
      <c r="G14" s="48">
        <v>500</v>
      </c>
      <c r="H14" s="48">
        <f t="shared" si="2"/>
        <v>5</v>
      </c>
    </row>
    <row r="15" spans="1:8" ht="15.75" customHeight="1">
      <c r="A15" s="52"/>
      <c r="B15" s="11" t="s">
        <v>9</v>
      </c>
      <c r="C15" s="53" t="s">
        <v>110</v>
      </c>
      <c r="D15" s="52">
        <v>1036</v>
      </c>
      <c r="E15" s="52">
        <v>980</v>
      </c>
      <c r="F15" s="54">
        <f t="shared" si="0"/>
        <v>-56</v>
      </c>
      <c r="G15" s="55">
        <f t="shared" ref="G15:G38" si="3">F15/D15%</f>
        <v>-5.4054054054054053</v>
      </c>
      <c r="H15" s="55">
        <f t="shared" si="2"/>
        <v>0</v>
      </c>
    </row>
    <row r="16" spans="1:8" ht="15.75" customHeight="1">
      <c r="A16" s="44">
        <v>10</v>
      </c>
      <c r="B16" s="11" t="s">
        <v>19</v>
      </c>
      <c r="C16" s="45" t="s">
        <v>21</v>
      </c>
      <c r="D16" s="47">
        <v>185</v>
      </c>
      <c r="E16" s="47">
        <v>159</v>
      </c>
      <c r="F16" s="47">
        <f t="shared" si="0"/>
        <v>-26</v>
      </c>
      <c r="G16" s="48">
        <f t="shared" si="3"/>
        <v>-14.054054054054053</v>
      </c>
      <c r="H16" s="48">
        <f t="shared" si="2"/>
        <v>0</v>
      </c>
    </row>
    <row r="17" spans="1:8" ht="15.75" customHeight="1">
      <c r="A17" s="44">
        <v>11</v>
      </c>
      <c r="B17" s="11" t="s">
        <v>19</v>
      </c>
      <c r="C17" s="45" t="s">
        <v>26</v>
      </c>
      <c r="D17" s="47">
        <v>231</v>
      </c>
      <c r="E17" s="47">
        <v>191</v>
      </c>
      <c r="F17" s="47">
        <f t="shared" si="0"/>
        <v>-40</v>
      </c>
      <c r="G17" s="48">
        <f t="shared" si="3"/>
        <v>-17.316017316017316</v>
      </c>
      <c r="H17" s="48">
        <f t="shared" si="2"/>
        <v>0</v>
      </c>
    </row>
    <row r="18" spans="1:8" ht="15.75" customHeight="1">
      <c r="A18" s="44">
        <v>12</v>
      </c>
      <c r="B18" s="11" t="s">
        <v>19</v>
      </c>
      <c r="C18" s="45" t="s">
        <v>27</v>
      </c>
      <c r="D18" s="47">
        <v>234</v>
      </c>
      <c r="E18" s="47">
        <v>570</v>
      </c>
      <c r="F18" s="47">
        <f t="shared" si="0"/>
        <v>336</v>
      </c>
      <c r="G18" s="48">
        <f t="shared" si="3"/>
        <v>143.58974358974359</v>
      </c>
      <c r="H18" s="48">
        <f t="shared" si="2"/>
        <v>5</v>
      </c>
    </row>
    <row r="19" spans="1:8" ht="15.75" customHeight="1">
      <c r="A19" s="44">
        <v>13</v>
      </c>
      <c r="B19" s="11" t="s">
        <v>19</v>
      </c>
      <c r="C19" s="45" t="s">
        <v>29</v>
      </c>
      <c r="D19" s="47">
        <v>102</v>
      </c>
      <c r="E19" s="47">
        <v>243</v>
      </c>
      <c r="F19" s="47">
        <f t="shared" si="0"/>
        <v>141</v>
      </c>
      <c r="G19" s="48">
        <f t="shared" si="3"/>
        <v>138.23529411764704</v>
      </c>
      <c r="H19" s="48">
        <f t="shared" si="2"/>
        <v>5</v>
      </c>
    </row>
    <row r="20" spans="1:8" ht="15.75" customHeight="1">
      <c r="A20" s="44">
        <v>14</v>
      </c>
      <c r="B20" s="11" t="s">
        <v>19</v>
      </c>
      <c r="C20" s="50" t="s">
        <v>20</v>
      </c>
      <c r="D20" s="51">
        <v>33</v>
      </c>
      <c r="E20" s="51">
        <v>32</v>
      </c>
      <c r="F20" s="47">
        <f t="shared" si="0"/>
        <v>-1</v>
      </c>
      <c r="G20" s="48">
        <f t="shared" si="3"/>
        <v>-3.0303030303030303</v>
      </c>
      <c r="H20" s="48">
        <f t="shared" si="2"/>
        <v>0</v>
      </c>
    </row>
    <row r="21" spans="1:8" ht="15.75" customHeight="1">
      <c r="A21" s="44">
        <v>15</v>
      </c>
      <c r="B21" s="11" t="s">
        <v>19</v>
      </c>
      <c r="C21" s="50" t="s">
        <v>22</v>
      </c>
      <c r="D21" s="51">
        <v>46</v>
      </c>
      <c r="E21" s="51">
        <v>22</v>
      </c>
      <c r="F21" s="47">
        <f t="shared" si="0"/>
        <v>-24</v>
      </c>
      <c r="G21" s="48">
        <f t="shared" si="3"/>
        <v>-52.173913043478258</v>
      </c>
      <c r="H21" s="48">
        <f t="shared" si="2"/>
        <v>0</v>
      </c>
    </row>
    <row r="22" spans="1:8" ht="15.75" customHeight="1">
      <c r="A22" s="44">
        <v>16</v>
      </c>
      <c r="B22" s="11" t="s">
        <v>19</v>
      </c>
      <c r="C22" s="50" t="s">
        <v>23</v>
      </c>
      <c r="D22" s="51">
        <v>6</v>
      </c>
      <c r="E22" s="51">
        <v>4</v>
      </c>
      <c r="F22" s="47">
        <f t="shared" si="0"/>
        <v>-2</v>
      </c>
      <c r="G22" s="48">
        <f t="shared" si="3"/>
        <v>-33.333333333333336</v>
      </c>
      <c r="H22" s="48">
        <f t="shared" si="2"/>
        <v>0</v>
      </c>
    </row>
    <row r="23" spans="1:8" ht="15.75" customHeight="1">
      <c r="A23" s="44">
        <v>17</v>
      </c>
      <c r="B23" s="11" t="s">
        <v>19</v>
      </c>
      <c r="C23" s="50" t="s">
        <v>24</v>
      </c>
      <c r="D23" s="51">
        <v>7</v>
      </c>
      <c r="E23" s="51">
        <v>19</v>
      </c>
      <c r="F23" s="47">
        <f t="shared" si="0"/>
        <v>12</v>
      </c>
      <c r="G23" s="48">
        <f t="shared" si="3"/>
        <v>171.42857142857142</v>
      </c>
      <c r="H23" s="48">
        <f t="shared" si="2"/>
        <v>5</v>
      </c>
    </row>
    <row r="24" spans="1:8" ht="15.75" customHeight="1">
      <c r="A24" s="44">
        <v>18</v>
      </c>
      <c r="B24" s="11" t="s">
        <v>19</v>
      </c>
      <c r="C24" s="50" t="s">
        <v>25</v>
      </c>
      <c r="D24" s="51">
        <v>66</v>
      </c>
      <c r="E24" s="51">
        <v>54</v>
      </c>
      <c r="F24" s="47">
        <f t="shared" si="0"/>
        <v>-12</v>
      </c>
      <c r="G24" s="48">
        <f t="shared" si="3"/>
        <v>-18.18181818181818</v>
      </c>
      <c r="H24" s="48">
        <f t="shared" si="2"/>
        <v>0</v>
      </c>
    </row>
    <row r="25" spans="1:8" ht="28.8">
      <c r="A25" s="44">
        <v>19</v>
      </c>
      <c r="B25" s="11" t="s">
        <v>19</v>
      </c>
      <c r="C25" s="50" t="s">
        <v>28</v>
      </c>
      <c r="D25" s="51">
        <v>65</v>
      </c>
      <c r="E25" s="51">
        <v>65</v>
      </c>
      <c r="F25" s="47">
        <f t="shared" si="0"/>
        <v>0</v>
      </c>
      <c r="G25" s="48">
        <f t="shared" si="3"/>
        <v>0</v>
      </c>
      <c r="H25" s="48">
        <f t="shared" si="2"/>
        <v>0</v>
      </c>
    </row>
    <row r="26" spans="1:8" ht="28.8">
      <c r="A26" s="44">
        <v>20</v>
      </c>
      <c r="B26" s="11" t="s">
        <v>19</v>
      </c>
      <c r="C26" s="50" t="s">
        <v>111</v>
      </c>
      <c r="D26" s="51">
        <v>14</v>
      </c>
      <c r="E26" s="51">
        <v>21</v>
      </c>
      <c r="F26" s="47">
        <f t="shared" si="0"/>
        <v>7</v>
      </c>
      <c r="G26" s="48">
        <f t="shared" si="3"/>
        <v>49.999999999999993</v>
      </c>
      <c r="H26" s="48">
        <f t="shared" si="2"/>
        <v>2.4999999999999996</v>
      </c>
    </row>
    <row r="27" spans="1:8" ht="28.8">
      <c r="A27" s="44">
        <v>21</v>
      </c>
      <c r="B27" s="11" t="s">
        <v>19</v>
      </c>
      <c r="C27" s="50" t="s">
        <v>30</v>
      </c>
      <c r="D27" s="51">
        <v>29</v>
      </c>
      <c r="E27" s="51">
        <v>23</v>
      </c>
      <c r="F27" s="47">
        <f t="shared" si="0"/>
        <v>-6</v>
      </c>
      <c r="G27" s="48">
        <f t="shared" si="3"/>
        <v>-20.689655172413794</v>
      </c>
      <c r="H27" s="48">
        <f t="shared" si="2"/>
        <v>0</v>
      </c>
    </row>
    <row r="28" spans="1:8" ht="28.2">
      <c r="A28" s="52"/>
      <c r="B28" s="11" t="s">
        <v>19</v>
      </c>
      <c r="C28" s="53" t="s">
        <v>110</v>
      </c>
      <c r="D28" s="52">
        <v>1018</v>
      </c>
      <c r="E28" s="52">
        <v>1403</v>
      </c>
      <c r="F28" s="54">
        <f t="shared" si="0"/>
        <v>385</v>
      </c>
      <c r="G28" s="55">
        <f t="shared" si="3"/>
        <v>37.819253438113947</v>
      </c>
      <c r="H28" s="55">
        <f t="shared" si="2"/>
        <v>1.8909626719056973</v>
      </c>
    </row>
    <row r="29" spans="1:8" ht="28.8">
      <c r="A29" s="44">
        <v>22</v>
      </c>
      <c r="B29" s="11" t="s">
        <v>32</v>
      </c>
      <c r="C29" s="45" t="s">
        <v>34</v>
      </c>
      <c r="D29" s="47">
        <v>793</v>
      </c>
      <c r="E29" s="47">
        <v>391</v>
      </c>
      <c r="F29" s="47">
        <f t="shared" si="0"/>
        <v>-402</v>
      </c>
      <c r="G29" s="48">
        <f t="shared" si="3"/>
        <v>-50.693568726355615</v>
      </c>
      <c r="H29" s="48">
        <f t="shared" si="2"/>
        <v>0</v>
      </c>
    </row>
    <row r="30" spans="1:8" ht="72">
      <c r="A30" s="44">
        <v>23</v>
      </c>
      <c r="B30" s="11" t="s">
        <v>32</v>
      </c>
      <c r="C30" s="45" t="s">
        <v>33</v>
      </c>
      <c r="D30" s="47">
        <v>1781</v>
      </c>
      <c r="E30" s="47">
        <v>1217</v>
      </c>
      <c r="F30" s="47">
        <f t="shared" si="0"/>
        <v>-564</v>
      </c>
      <c r="G30" s="48">
        <f t="shared" si="3"/>
        <v>-31.66760247052218</v>
      </c>
      <c r="H30" s="48">
        <f t="shared" si="2"/>
        <v>0</v>
      </c>
    </row>
    <row r="31" spans="1:8" ht="28.8">
      <c r="A31" s="44">
        <v>24</v>
      </c>
      <c r="B31" s="11" t="s">
        <v>32</v>
      </c>
      <c r="C31" s="50" t="s">
        <v>112</v>
      </c>
      <c r="D31" s="51">
        <v>43</v>
      </c>
      <c r="E31" s="51">
        <v>155</v>
      </c>
      <c r="F31" s="47">
        <f t="shared" si="0"/>
        <v>112</v>
      </c>
      <c r="G31" s="48">
        <f t="shared" si="3"/>
        <v>260.46511627906978</v>
      </c>
      <c r="H31" s="48">
        <f t="shared" si="2"/>
        <v>5</v>
      </c>
    </row>
    <row r="32" spans="1:8" ht="28.2">
      <c r="A32" s="58"/>
      <c r="B32" s="11" t="s">
        <v>32</v>
      </c>
      <c r="C32" s="59" t="s">
        <v>110</v>
      </c>
      <c r="D32" s="58">
        <v>2617</v>
      </c>
      <c r="E32" s="58">
        <v>1763</v>
      </c>
      <c r="F32" s="60">
        <f t="shared" si="0"/>
        <v>-854</v>
      </c>
      <c r="G32" s="61">
        <f t="shared" si="3"/>
        <v>-32.632785632403511</v>
      </c>
      <c r="H32" s="61">
        <f t="shared" si="2"/>
        <v>0</v>
      </c>
    </row>
    <row r="33" spans="1:8" ht="28.8">
      <c r="A33" s="44">
        <v>25</v>
      </c>
      <c r="B33" s="11" t="s">
        <v>36</v>
      </c>
      <c r="C33" s="45" t="s">
        <v>42</v>
      </c>
      <c r="D33" s="47">
        <v>117</v>
      </c>
      <c r="E33" s="47">
        <v>73</v>
      </c>
      <c r="F33" s="47">
        <f t="shared" si="0"/>
        <v>-44</v>
      </c>
      <c r="G33" s="48">
        <f t="shared" si="3"/>
        <v>-37.606837606837608</v>
      </c>
      <c r="H33" s="48">
        <f t="shared" si="2"/>
        <v>0</v>
      </c>
    </row>
    <row r="34" spans="1:8" ht="28.8">
      <c r="A34" s="44">
        <v>26</v>
      </c>
      <c r="B34" s="11" t="s">
        <v>36</v>
      </c>
      <c r="C34" s="50" t="s">
        <v>37</v>
      </c>
      <c r="D34" s="51">
        <v>48</v>
      </c>
      <c r="E34" s="51">
        <v>23</v>
      </c>
      <c r="F34" s="47">
        <f t="shared" si="0"/>
        <v>-25</v>
      </c>
      <c r="G34" s="48">
        <f t="shared" si="3"/>
        <v>-52.083333333333336</v>
      </c>
      <c r="H34" s="48">
        <f t="shared" si="2"/>
        <v>0</v>
      </c>
    </row>
    <row r="35" spans="1:8" ht="28.8">
      <c r="A35" s="44">
        <v>27</v>
      </c>
      <c r="B35" s="11" t="s">
        <v>36</v>
      </c>
      <c r="C35" s="50" t="s">
        <v>38</v>
      </c>
      <c r="D35" s="51">
        <v>12</v>
      </c>
      <c r="E35" s="51">
        <v>0</v>
      </c>
      <c r="F35" s="47">
        <f t="shared" si="0"/>
        <v>-12</v>
      </c>
      <c r="G35" s="48">
        <f t="shared" si="3"/>
        <v>-100</v>
      </c>
      <c r="H35" s="48">
        <f t="shared" si="2"/>
        <v>0</v>
      </c>
    </row>
    <row r="36" spans="1:8" ht="28.2">
      <c r="A36" s="44">
        <v>28</v>
      </c>
      <c r="B36" s="11" t="s">
        <v>36</v>
      </c>
      <c r="C36" s="50" t="s">
        <v>39</v>
      </c>
      <c r="D36" s="51">
        <v>24</v>
      </c>
      <c r="E36" s="51">
        <v>8</v>
      </c>
      <c r="F36" s="47">
        <f t="shared" si="0"/>
        <v>-16</v>
      </c>
      <c r="G36" s="48">
        <f t="shared" si="3"/>
        <v>-66.666666666666671</v>
      </c>
      <c r="H36" s="48">
        <f t="shared" si="2"/>
        <v>0</v>
      </c>
    </row>
    <row r="37" spans="1:8" ht="28.8">
      <c r="A37" s="44">
        <v>29</v>
      </c>
      <c r="B37" s="11" t="s">
        <v>36</v>
      </c>
      <c r="C37" s="50" t="s">
        <v>40</v>
      </c>
      <c r="D37" s="51">
        <v>34</v>
      </c>
      <c r="E37" s="51">
        <v>12</v>
      </c>
      <c r="F37" s="47">
        <f t="shared" si="0"/>
        <v>-22</v>
      </c>
      <c r="G37" s="48">
        <f t="shared" si="3"/>
        <v>-64.705882352941174</v>
      </c>
      <c r="H37" s="48">
        <f t="shared" si="2"/>
        <v>0</v>
      </c>
    </row>
    <row r="38" spans="1:8" ht="28.8">
      <c r="A38" s="44">
        <v>30</v>
      </c>
      <c r="B38" s="11" t="s">
        <v>36</v>
      </c>
      <c r="C38" s="50" t="s">
        <v>41</v>
      </c>
      <c r="D38" s="51">
        <v>41</v>
      </c>
      <c r="E38" s="51">
        <v>15</v>
      </c>
      <c r="F38" s="47">
        <f t="shared" si="0"/>
        <v>-26</v>
      </c>
      <c r="G38" s="48">
        <f t="shared" si="3"/>
        <v>-63.41463414634147</v>
      </c>
      <c r="H38" s="48">
        <f t="shared" si="2"/>
        <v>0</v>
      </c>
    </row>
    <row r="39" spans="1:8" ht="28.8">
      <c r="A39" s="44">
        <v>31</v>
      </c>
      <c r="B39" s="11" t="s">
        <v>36</v>
      </c>
      <c r="C39" s="50" t="s">
        <v>113</v>
      </c>
      <c r="D39" s="51">
        <v>0</v>
      </c>
      <c r="E39" s="51">
        <v>12</v>
      </c>
      <c r="F39" s="47">
        <f t="shared" si="0"/>
        <v>12</v>
      </c>
      <c r="G39" s="48">
        <v>1200</v>
      </c>
      <c r="H39" s="48">
        <f t="shared" si="2"/>
        <v>5</v>
      </c>
    </row>
    <row r="40" spans="1:8" ht="28.2">
      <c r="A40" s="53"/>
      <c r="B40" s="11" t="s">
        <v>36</v>
      </c>
      <c r="C40" s="53" t="s">
        <v>110</v>
      </c>
      <c r="D40" s="53">
        <v>276</v>
      </c>
      <c r="E40" s="53">
        <v>143</v>
      </c>
      <c r="F40" s="54">
        <f t="shared" si="0"/>
        <v>-133</v>
      </c>
      <c r="G40" s="55">
        <f t="shared" ref="G40:G69" si="4">F40/D40%</f>
        <v>-48.188405797101453</v>
      </c>
      <c r="H40" s="55">
        <f t="shared" si="2"/>
        <v>0</v>
      </c>
    </row>
    <row r="41" spans="1:8" ht="28.8">
      <c r="A41" s="44">
        <v>32</v>
      </c>
      <c r="B41" s="11" t="s">
        <v>44</v>
      </c>
      <c r="C41" s="45" t="s">
        <v>46</v>
      </c>
      <c r="D41" s="47">
        <v>28</v>
      </c>
      <c r="E41" s="47">
        <v>34</v>
      </c>
      <c r="F41" s="47">
        <f t="shared" si="0"/>
        <v>6</v>
      </c>
      <c r="G41" s="48">
        <f t="shared" si="4"/>
        <v>21.428571428571427</v>
      </c>
      <c r="H41" s="48">
        <f t="shared" si="2"/>
        <v>1.0714285714285714</v>
      </c>
    </row>
    <row r="42" spans="1:8" ht="28.8">
      <c r="A42" s="44">
        <v>33</v>
      </c>
      <c r="B42" s="11" t="s">
        <v>44</v>
      </c>
      <c r="C42" s="45" t="s">
        <v>48</v>
      </c>
      <c r="D42" s="47">
        <v>145</v>
      </c>
      <c r="E42" s="47">
        <v>163</v>
      </c>
      <c r="F42" s="47">
        <f t="shared" si="0"/>
        <v>18</v>
      </c>
      <c r="G42" s="48">
        <f t="shared" si="4"/>
        <v>12.413793103448276</v>
      </c>
      <c r="H42" s="48">
        <f t="shared" si="2"/>
        <v>0.62068965517241381</v>
      </c>
    </row>
    <row r="43" spans="1:8" ht="28.8">
      <c r="A43" s="44">
        <v>34</v>
      </c>
      <c r="B43" s="11" t="s">
        <v>44</v>
      </c>
      <c r="C43" s="45" t="s">
        <v>49</v>
      </c>
      <c r="D43" s="47">
        <v>326</v>
      </c>
      <c r="E43" s="47">
        <v>432</v>
      </c>
      <c r="F43" s="47">
        <f t="shared" si="0"/>
        <v>106</v>
      </c>
      <c r="G43" s="48">
        <f t="shared" si="4"/>
        <v>32.515337423312886</v>
      </c>
      <c r="H43" s="48">
        <f t="shared" si="2"/>
        <v>1.6257668711656441</v>
      </c>
    </row>
    <row r="44" spans="1:8" ht="28.8">
      <c r="A44" s="44">
        <v>35</v>
      </c>
      <c r="B44" s="11" t="s">
        <v>44</v>
      </c>
      <c r="C44" s="50" t="s">
        <v>45</v>
      </c>
      <c r="D44" s="51">
        <v>2</v>
      </c>
      <c r="E44" s="51">
        <v>5</v>
      </c>
      <c r="F44" s="47">
        <f t="shared" si="0"/>
        <v>3</v>
      </c>
      <c r="G44" s="48">
        <f t="shared" si="4"/>
        <v>150</v>
      </c>
      <c r="H44" s="48">
        <f t="shared" si="2"/>
        <v>5</v>
      </c>
    </row>
    <row r="45" spans="1:8" ht="28.8">
      <c r="A45" s="44">
        <v>36</v>
      </c>
      <c r="B45" s="11" t="s">
        <v>44</v>
      </c>
      <c r="C45" s="50" t="s">
        <v>47</v>
      </c>
      <c r="D45" s="51">
        <v>5</v>
      </c>
      <c r="E45" s="51">
        <v>3</v>
      </c>
      <c r="F45" s="47">
        <f t="shared" si="0"/>
        <v>-2</v>
      </c>
      <c r="G45" s="48">
        <f t="shared" si="4"/>
        <v>-40</v>
      </c>
      <c r="H45" s="48">
        <f t="shared" si="2"/>
        <v>0</v>
      </c>
    </row>
    <row r="46" spans="1:8" ht="43.2">
      <c r="A46" s="44">
        <v>37</v>
      </c>
      <c r="B46" s="11" t="s">
        <v>44</v>
      </c>
      <c r="C46" s="50" t="s">
        <v>50</v>
      </c>
      <c r="D46" s="51">
        <v>4</v>
      </c>
      <c r="E46" s="51">
        <v>7</v>
      </c>
      <c r="F46" s="47">
        <f t="shared" si="0"/>
        <v>3</v>
      </c>
      <c r="G46" s="48">
        <f t="shared" si="4"/>
        <v>75</v>
      </c>
      <c r="H46" s="48">
        <f t="shared" si="2"/>
        <v>3.75</v>
      </c>
    </row>
    <row r="47" spans="1:8" ht="28.2">
      <c r="A47" s="44">
        <v>38</v>
      </c>
      <c r="B47" s="11" t="s">
        <v>44</v>
      </c>
      <c r="C47" s="50" t="s">
        <v>114</v>
      </c>
      <c r="D47" s="51">
        <v>25</v>
      </c>
      <c r="E47" s="51">
        <v>56</v>
      </c>
      <c r="F47" s="47">
        <f t="shared" si="0"/>
        <v>31</v>
      </c>
      <c r="G47" s="48">
        <f t="shared" si="4"/>
        <v>124</v>
      </c>
      <c r="H47" s="48">
        <f t="shared" si="2"/>
        <v>5</v>
      </c>
    </row>
    <row r="48" spans="1:8" ht="28.2">
      <c r="A48" s="52"/>
      <c r="B48" s="11" t="s">
        <v>44</v>
      </c>
      <c r="C48" s="53" t="s">
        <v>110</v>
      </c>
      <c r="D48" s="52">
        <v>535</v>
      </c>
      <c r="E48" s="52">
        <v>700</v>
      </c>
      <c r="F48" s="54">
        <f t="shared" si="0"/>
        <v>165</v>
      </c>
      <c r="G48" s="55">
        <f t="shared" si="4"/>
        <v>30.841121495327105</v>
      </c>
      <c r="H48" s="55">
        <f t="shared" si="2"/>
        <v>1.5420560747663552</v>
      </c>
    </row>
    <row r="49" spans="1:8" ht="28.8">
      <c r="A49" s="44">
        <v>39</v>
      </c>
      <c r="B49" s="11" t="s">
        <v>52</v>
      </c>
      <c r="C49" s="45" t="s">
        <v>53</v>
      </c>
      <c r="D49" s="47">
        <v>23</v>
      </c>
      <c r="E49" s="47">
        <v>13</v>
      </c>
      <c r="F49" s="47">
        <f t="shared" si="0"/>
        <v>-10</v>
      </c>
      <c r="G49" s="48">
        <f t="shared" si="4"/>
        <v>-43.478260869565219</v>
      </c>
      <c r="H49" s="48">
        <f t="shared" si="2"/>
        <v>0</v>
      </c>
    </row>
    <row r="50" spans="1:8" ht="28.8">
      <c r="A50" s="44">
        <v>40</v>
      </c>
      <c r="B50" s="11" t="s">
        <v>52</v>
      </c>
      <c r="C50" s="45" t="s">
        <v>55</v>
      </c>
      <c r="D50" s="47">
        <v>1075</v>
      </c>
      <c r="E50" s="47">
        <v>2146</v>
      </c>
      <c r="F50" s="47">
        <f t="shared" si="0"/>
        <v>1071</v>
      </c>
      <c r="G50" s="48">
        <f t="shared" si="4"/>
        <v>99.627906976744185</v>
      </c>
      <c r="H50" s="48">
        <f t="shared" si="2"/>
        <v>4.9813953488372089</v>
      </c>
    </row>
    <row r="51" spans="1:8" ht="28.8">
      <c r="A51" s="44">
        <v>41</v>
      </c>
      <c r="B51" s="11" t="s">
        <v>52</v>
      </c>
      <c r="C51" s="45" t="s">
        <v>56</v>
      </c>
      <c r="D51" s="47">
        <v>656</v>
      </c>
      <c r="E51" s="47">
        <v>783</v>
      </c>
      <c r="F51" s="47">
        <f t="shared" si="0"/>
        <v>127</v>
      </c>
      <c r="G51" s="48">
        <f t="shared" si="4"/>
        <v>19.359756097560975</v>
      </c>
      <c r="H51" s="48">
        <f t="shared" si="2"/>
        <v>0.96798780487804881</v>
      </c>
    </row>
    <row r="52" spans="1:8" ht="28.8">
      <c r="A52" s="44">
        <v>42</v>
      </c>
      <c r="B52" s="11" t="s">
        <v>52</v>
      </c>
      <c r="C52" s="45" t="s">
        <v>58</v>
      </c>
      <c r="D52" s="47">
        <v>4</v>
      </c>
      <c r="E52" s="47">
        <v>7</v>
      </c>
      <c r="F52" s="47">
        <f t="shared" si="0"/>
        <v>3</v>
      </c>
      <c r="G52" s="48">
        <f t="shared" si="4"/>
        <v>75</v>
      </c>
      <c r="H52" s="48">
        <f t="shared" si="2"/>
        <v>3.75</v>
      </c>
    </row>
    <row r="53" spans="1:8" ht="28.8">
      <c r="A53" s="44">
        <v>43</v>
      </c>
      <c r="B53" s="11" t="s">
        <v>52</v>
      </c>
      <c r="C53" s="50" t="s">
        <v>54</v>
      </c>
      <c r="D53" s="51">
        <v>18</v>
      </c>
      <c r="E53" s="51">
        <v>15</v>
      </c>
      <c r="F53" s="47">
        <f t="shared" si="0"/>
        <v>-3</v>
      </c>
      <c r="G53" s="48">
        <f t="shared" si="4"/>
        <v>-16.666666666666668</v>
      </c>
      <c r="H53" s="48">
        <f t="shared" si="2"/>
        <v>0</v>
      </c>
    </row>
    <row r="54" spans="1:8" ht="28.8">
      <c r="A54" s="44">
        <v>44</v>
      </c>
      <c r="B54" s="11" t="s">
        <v>52</v>
      </c>
      <c r="C54" s="50" t="s">
        <v>57</v>
      </c>
      <c r="D54" s="51">
        <v>8</v>
      </c>
      <c r="E54" s="51">
        <v>97</v>
      </c>
      <c r="F54" s="47">
        <f t="shared" si="0"/>
        <v>89</v>
      </c>
      <c r="G54" s="48">
        <f t="shared" si="4"/>
        <v>1112.5</v>
      </c>
      <c r="H54" s="48">
        <f t="shared" si="2"/>
        <v>5</v>
      </c>
    </row>
    <row r="55" spans="1:8" ht="28.8">
      <c r="A55" s="44">
        <v>45</v>
      </c>
      <c r="B55" s="11" t="s">
        <v>52</v>
      </c>
      <c r="C55" s="50" t="s">
        <v>115</v>
      </c>
      <c r="D55" s="51">
        <v>38</v>
      </c>
      <c r="E55" s="51">
        <v>22</v>
      </c>
      <c r="F55" s="47">
        <f t="shared" si="0"/>
        <v>-16</v>
      </c>
      <c r="G55" s="48">
        <f t="shared" si="4"/>
        <v>-42.10526315789474</v>
      </c>
      <c r="H55" s="48">
        <f t="shared" si="2"/>
        <v>0</v>
      </c>
    </row>
    <row r="56" spans="1:8" ht="28.2">
      <c r="A56" s="52"/>
      <c r="B56" s="11" t="s">
        <v>52</v>
      </c>
      <c r="C56" s="53" t="s">
        <v>110</v>
      </c>
      <c r="D56" s="52">
        <v>1822</v>
      </c>
      <c r="E56" s="52">
        <v>3083</v>
      </c>
      <c r="F56" s="54">
        <f t="shared" si="0"/>
        <v>1261</v>
      </c>
      <c r="G56" s="55">
        <f t="shared" si="4"/>
        <v>69.20965971459934</v>
      </c>
      <c r="H56" s="55">
        <f t="shared" si="2"/>
        <v>3.4604829857299673</v>
      </c>
    </row>
    <row r="57" spans="1:8" ht="28.8">
      <c r="A57" s="44">
        <v>46</v>
      </c>
      <c r="B57" s="11" t="s">
        <v>60</v>
      </c>
      <c r="C57" s="45" t="s">
        <v>61</v>
      </c>
      <c r="D57" s="47">
        <v>5</v>
      </c>
      <c r="E57" s="47">
        <v>16</v>
      </c>
      <c r="F57" s="47">
        <f t="shared" si="0"/>
        <v>11</v>
      </c>
      <c r="G57" s="48">
        <f t="shared" si="4"/>
        <v>220</v>
      </c>
      <c r="H57" s="48">
        <f t="shared" si="2"/>
        <v>5</v>
      </c>
    </row>
    <row r="58" spans="1:8" ht="28.8">
      <c r="A58" s="44">
        <v>47</v>
      </c>
      <c r="B58" s="11" t="s">
        <v>60</v>
      </c>
      <c r="C58" s="45" t="s">
        <v>63</v>
      </c>
      <c r="D58" s="47">
        <v>99</v>
      </c>
      <c r="E58" s="47">
        <v>132</v>
      </c>
      <c r="F58" s="47">
        <f t="shared" si="0"/>
        <v>33</v>
      </c>
      <c r="G58" s="48">
        <f t="shared" si="4"/>
        <v>33.333333333333336</v>
      </c>
      <c r="H58" s="48">
        <f t="shared" si="2"/>
        <v>1.666666666666667</v>
      </c>
    </row>
    <row r="59" spans="1:8" ht="28.8">
      <c r="A59" s="44">
        <v>48</v>
      </c>
      <c r="B59" s="11" t="s">
        <v>60</v>
      </c>
      <c r="C59" s="50" t="s">
        <v>62</v>
      </c>
      <c r="D59" s="51">
        <v>2</v>
      </c>
      <c r="E59" s="51">
        <v>0</v>
      </c>
      <c r="F59" s="47">
        <f t="shared" si="0"/>
        <v>-2</v>
      </c>
      <c r="G59" s="48">
        <f t="shared" si="4"/>
        <v>-100</v>
      </c>
      <c r="H59" s="48">
        <f t="shared" si="2"/>
        <v>0</v>
      </c>
    </row>
    <row r="60" spans="1:8" ht="28.2">
      <c r="A60" s="44">
        <v>49</v>
      </c>
      <c r="B60" s="11" t="s">
        <v>60</v>
      </c>
      <c r="C60" s="50" t="s">
        <v>116</v>
      </c>
      <c r="D60" s="51">
        <v>20</v>
      </c>
      <c r="E60" s="51">
        <v>3</v>
      </c>
      <c r="F60" s="47">
        <f t="shared" si="0"/>
        <v>-17</v>
      </c>
      <c r="G60" s="48">
        <f t="shared" si="4"/>
        <v>-85</v>
      </c>
      <c r="H60" s="48">
        <f t="shared" si="2"/>
        <v>0</v>
      </c>
    </row>
    <row r="61" spans="1:8" ht="28.8">
      <c r="A61" s="44">
        <v>50</v>
      </c>
      <c r="B61" s="11" t="s">
        <v>60</v>
      </c>
      <c r="C61" s="50" t="s">
        <v>64</v>
      </c>
      <c r="D61" s="51">
        <v>10</v>
      </c>
      <c r="E61" s="51">
        <v>6</v>
      </c>
      <c r="F61" s="47">
        <f t="shared" si="0"/>
        <v>-4</v>
      </c>
      <c r="G61" s="48">
        <f t="shared" si="4"/>
        <v>-40</v>
      </c>
      <c r="H61" s="48">
        <f t="shared" si="2"/>
        <v>0</v>
      </c>
    </row>
    <row r="62" spans="1:8" ht="28.2">
      <c r="A62" s="52"/>
      <c r="B62" s="11" t="s">
        <v>60</v>
      </c>
      <c r="C62" s="53" t="s">
        <v>110</v>
      </c>
      <c r="D62" s="52">
        <v>136</v>
      </c>
      <c r="E62" s="52">
        <v>157</v>
      </c>
      <c r="F62" s="54">
        <f t="shared" si="0"/>
        <v>21</v>
      </c>
      <c r="G62" s="55">
        <f t="shared" si="4"/>
        <v>15.441176470588234</v>
      </c>
      <c r="H62" s="55">
        <f t="shared" si="2"/>
        <v>0.77205882352941169</v>
      </c>
    </row>
    <row r="63" spans="1:8" ht="28.8">
      <c r="A63" s="44">
        <v>51</v>
      </c>
      <c r="B63" s="11" t="s">
        <v>66</v>
      </c>
      <c r="C63" s="45" t="s">
        <v>70</v>
      </c>
      <c r="D63" s="47">
        <v>144</v>
      </c>
      <c r="E63" s="47">
        <v>99</v>
      </c>
      <c r="F63" s="47">
        <f t="shared" si="0"/>
        <v>-45</v>
      </c>
      <c r="G63" s="48">
        <f t="shared" si="4"/>
        <v>-31.25</v>
      </c>
      <c r="H63" s="48">
        <f t="shared" si="2"/>
        <v>0</v>
      </c>
    </row>
    <row r="64" spans="1:8" ht="28.8">
      <c r="A64" s="44">
        <v>52</v>
      </c>
      <c r="B64" s="11" t="s">
        <v>66</v>
      </c>
      <c r="C64" s="45" t="s">
        <v>71</v>
      </c>
      <c r="D64" s="47">
        <v>199</v>
      </c>
      <c r="E64" s="47">
        <v>483</v>
      </c>
      <c r="F64" s="47">
        <f t="shared" si="0"/>
        <v>284</v>
      </c>
      <c r="G64" s="48">
        <f t="shared" si="4"/>
        <v>142.71356783919597</v>
      </c>
      <c r="H64" s="48">
        <f t="shared" si="2"/>
        <v>5</v>
      </c>
    </row>
    <row r="65" spans="1:8" ht="28.2">
      <c r="A65" s="44">
        <v>53</v>
      </c>
      <c r="B65" s="11" t="s">
        <v>66</v>
      </c>
      <c r="C65" s="50" t="s">
        <v>67</v>
      </c>
      <c r="D65" s="51">
        <v>3</v>
      </c>
      <c r="E65" s="51">
        <v>5</v>
      </c>
      <c r="F65" s="47">
        <f t="shared" si="0"/>
        <v>2</v>
      </c>
      <c r="G65" s="48">
        <f t="shared" si="4"/>
        <v>66.666666666666671</v>
      </c>
      <c r="H65" s="48">
        <f t="shared" si="2"/>
        <v>3.3333333333333339</v>
      </c>
    </row>
    <row r="66" spans="1:8" ht="28.8">
      <c r="A66" s="44">
        <v>54</v>
      </c>
      <c r="B66" s="11" t="s">
        <v>66</v>
      </c>
      <c r="C66" s="50" t="s">
        <v>68</v>
      </c>
      <c r="D66" s="51">
        <v>7</v>
      </c>
      <c r="E66" s="51">
        <v>10</v>
      </c>
      <c r="F66" s="47">
        <f t="shared" si="0"/>
        <v>3</v>
      </c>
      <c r="G66" s="48">
        <f t="shared" si="4"/>
        <v>42.857142857142854</v>
      </c>
      <c r="H66" s="48">
        <f t="shared" si="2"/>
        <v>2.1428571428571428</v>
      </c>
    </row>
    <row r="67" spans="1:8" ht="28.8">
      <c r="A67" s="44">
        <v>55</v>
      </c>
      <c r="B67" s="11" t="s">
        <v>66</v>
      </c>
      <c r="C67" s="50" t="s">
        <v>69</v>
      </c>
      <c r="D67" s="51">
        <v>10</v>
      </c>
      <c r="E67" s="51">
        <v>17</v>
      </c>
      <c r="F67" s="47">
        <f t="shared" si="0"/>
        <v>7</v>
      </c>
      <c r="G67" s="48">
        <f t="shared" si="4"/>
        <v>70</v>
      </c>
      <c r="H67" s="48">
        <f t="shared" si="2"/>
        <v>3.5</v>
      </c>
    </row>
    <row r="68" spans="1:8" ht="28.2">
      <c r="A68" s="52"/>
      <c r="B68" s="11" t="s">
        <v>66</v>
      </c>
      <c r="C68" s="53" t="s">
        <v>110</v>
      </c>
      <c r="D68" s="52">
        <v>363</v>
      </c>
      <c r="E68" s="52">
        <v>614</v>
      </c>
      <c r="F68" s="54">
        <f t="shared" si="0"/>
        <v>251</v>
      </c>
      <c r="G68" s="55">
        <f t="shared" si="4"/>
        <v>69.146005509641881</v>
      </c>
      <c r="H68" s="55">
        <f t="shared" si="2"/>
        <v>3.4573002754820941</v>
      </c>
    </row>
    <row r="69" spans="1:8" ht="28.8">
      <c r="A69" s="52">
        <v>56</v>
      </c>
      <c r="B69" s="65" t="s">
        <v>73</v>
      </c>
      <c r="C69" s="66" t="s">
        <v>117</v>
      </c>
      <c r="D69" s="52">
        <v>7803</v>
      </c>
      <c r="E69" s="52">
        <v>8843</v>
      </c>
      <c r="F69" s="54">
        <f t="shared" si="0"/>
        <v>1040</v>
      </c>
      <c r="G69" s="55">
        <f t="shared" si="4"/>
        <v>13.328207099833397</v>
      </c>
      <c r="H69" s="55">
        <f t="shared" si="2"/>
        <v>0.6664103549916699</v>
      </c>
    </row>
    <row r="70" spans="1:8" ht="13.2">
      <c r="G70" s="49"/>
    </row>
    <row r="71" spans="1:8" ht="13.2">
      <c r="G71" s="49"/>
    </row>
    <row r="72" spans="1:8" ht="13.2">
      <c r="G72" s="49"/>
    </row>
    <row r="73" spans="1:8" ht="13.2">
      <c r="G73" s="49"/>
    </row>
    <row r="74" spans="1:8" ht="13.2">
      <c r="G74" s="49"/>
    </row>
    <row r="75" spans="1:8" ht="13.2">
      <c r="G75" s="49"/>
    </row>
    <row r="76" spans="1:8" ht="13.2">
      <c r="G76" s="49"/>
    </row>
    <row r="77" spans="1:8" ht="13.2">
      <c r="G77" s="49"/>
    </row>
    <row r="78" spans="1:8" ht="13.2">
      <c r="G78" s="49"/>
    </row>
    <row r="79" spans="1:8" ht="13.2">
      <c r="G79" s="49"/>
    </row>
    <row r="80" spans="1:8" ht="13.2">
      <c r="G80" s="49"/>
    </row>
    <row r="81" spans="7:7" ht="13.2">
      <c r="G81" s="49"/>
    </row>
    <row r="82" spans="7:7" ht="13.2">
      <c r="G82" s="49"/>
    </row>
    <row r="83" spans="7:7" ht="13.2">
      <c r="G83" s="49"/>
    </row>
    <row r="84" spans="7:7" ht="13.2">
      <c r="G84" s="49"/>
    </row>
    <row r="85" spans="7:7" ht="13.2">
      <c r="G85" s="49"/>
    </row>
    <row r="86" spans="7:7" ht="13.2">
      <c r="G86" s="49"/>
    </row>
    <row r="87" spans="7:7" ht="13.2">
      <c r="G87" s="49"/>
    </row>
    <row r="88" spans="7:7" ht="13.2">
      <c r="G88" s="49"/>
    </row>
    <row r="89" spans="7:7" ht="13.2">
      <c r="G89" s="49"/>
    </row>
    <row r="90" spans="7:7" ht="13.2">
      <c r="G90" s="49"/>
    </row>
    <row r="91" spans="7:7" ht="13.2">
      <c r="G91" s="49"/>
    </row>
    <row r="92" spans="7:7" ht="13.2">
      <c r="G92" s="49"/>
    </row>
    <row r="93" spans="7:7" ht="13.2">
      <c r="G93" s="49"/>
    </row>
    <row r="94" spans="7:7" ht="13.2">
      <c r="G94" s="49"/>
    </row>
    <row r="95" spans="7:7" ht="13.2">
      <c r="G95" s="49"/>
    </row>
    <row r="96" spans="7:7" ht="13.2">
      <c r="G96" s="49"/>
    </row>
    <row r="97" spans="7:7" ht="13.2">
      <c r="G97" s="49"/>
    </row>
    <row r="98" spans="7:7" ht="13.2">
      <c r="G98" s="49"/>
    </row>
    <row r="99" spans="7:7" ht="13.2">
      <c r="G99" s="49"/>
    </row>
    <row r="100" spans="7:7" ht="13.2">
      <c r="G100" s="49"/>
    </row>
    <row r="101" spans="7:7" ht="13.2">
      <c r="G101" s="49"/>
    </row>
    <row r="102" spans="7:7" ht="13.2">
      <c r="G102" s="49"/>
    </row>
    <row r="103" spans="7:7" ht="13.2">
      <c r="G103" s="49"/>
    </row>
    <row r="104" spans="7:7" ht="13.2">
      <c r="G104" s="49"/>
    </row>
    <row r="105" spans="7:7" ht="13.2">
      <c r="G105" s="49"/>
    </row>
    <row r="106" spans="7:7" ht="13.2">
      <c r="G106" s="49"/>
    </row>
    <row r="107" spans="7:7" ht="13.2">
      <c r="G107" s="49"/>
    </row>
    <row r="108" spans="7:7" ht="13.2">
      <c r="G108" s="49"/>
    </row>
    <row r="109" spans="7:7" ht="13.2">
      <c r="G109" s="49"/>
    </row>
    <row r="110" spans="7:7" ht="13.2">
      <c r="G110" s="49"/>
    </row>
    <row r="111" spans="7:7" ht="13.2">
      <c r="G111" s="49"/>
    </row>
    <row r="112" spans="7:7" ht="13.2">
      <c r="G112" s="49"/>
    </row>
    <row r="113" spans="7:7" ht="13.2">
      <c r="G113" s="49"/>
    </row>
    <row r="114" spans="7:7" ht="13.2">
      <c r="G114" s="49"/>
    </row>
    <row r="115" spans="7:7" ht="13.2">
      <c r="G115" s="49"/>
    </row>
    <row r="116" spans="7:7" ht="13.2">
      <c r="G116" s="49"/>
    </row>
    <row r="117" spans="7:7" ht="13.2">
      <c r="G117" s="49"/>
    </row>
    <row r="118" spans="7:7" ht="13.2">
      <c r="G118" s="49"/>
    </row>
    <row r="119" spans="7:7" ht="13.2">
      <c r="G119" s="49"/>
    </row>
    <row r="120" spans="7:7" ht="13.2">
      <c r="G120" s="49"/>
    </row>
    <row r="121" spans="7:7" ht="13.2">
      <c r="G121" s="49"/>
    </row>
    <row r="122" spans="7:7" ht="13.2">
      <c r="G122" s="49"/>
    </row>
    <row r="123" spans="7:7" ht="13.2">
      <c r="G123" s="49"/>
    </row>
    <row r="124" spans="7:7" ht="13.2">
      <c r="G124" s="49"/>
    </row>
    <row r="125" spans="7:7" ht="13.2">
      <c r="G125" s="49"/>
    </row>
    <row r="126" spans="7:7" ht="13.2">
      <c r="G126" s="49"/>
    </row>
    <row r="127" spans="7:7" ht="13.2">
      <c r="G127" s="49"/>
    </row>
    <row r="128" spans="7:7" ht="13.2">
      <c r="G128" s="49"/>
    </row>
    <row r="129" spans="7:7" ht="13.2">
      <c r="G129" s="49"/>
    </row>
    <row r="130" spans="7:7" ht="13.2">
      <c r="G130" s="49"/>
    </row>
    <row r="131" spans="7:7" ht="13.2">
      <c r="G131" s="49"/>
    </row>
    <row r="132" spans="7:7" ht="13.2">
      <c r="G132" s="49"/>
    </row>
    <row r="133" spans="7:7" ht="13.2">
      <c r="G133" s="49"/>
    </row>
    <row r="134" spans="7:7" ht="13.2">
      <c r="G134" s="49"/>
    </row>
    <row r="135" spans="7:7" ht="13.2">
      <c r="G135" s="49"/>
    </row>
    <row r="136" spans="7:7" ht="13.2">
      <c r="G136" s="49"/>
    </row>
    <row r="137" spans="7:7" ht="13.2">
      <c r="G137" s="49"/>
    </row>
    <row r="138" spans="7:7" ht="13.2">
      <c r="G138" s="49"/>
    </row>
    <row r="139" spans="7:7" ht="13.2">
      <c r="G139" s="49"/>
    </row>
    <row r="140" spans="7:7" ht="13.2">
      <c r="G140" s="49"/>
    </row>
    <row r="141" spans="7:7" ht="13.2">
      <c r="G141" s="49"/>
    </row>
    <row r="142" spans="7:7" ht="13.2">
      <c r="G142" s="49"/>
    </row>
    <row r="143" spans="7:7" ht="13.2">
      <c r="G143" s="49"/>
    </row>
    <row r="144" spans="7:7" ht="13.2">
      <c r="G144" s="49"/>
    </row>
    <row r="145" spans="7:7" ht="13.2">
      <c r="G145" s="49"/>
    </row>
    <row r="146" spans="7:7" ht="13.2">
      <c r="G146" s="49"/>
    </row>
    <row r="147" spans="7:7" ht="13.2">
      <c r="G147" s="49"/>
    </row>
    <row r="148" spans="7:7" ht="13.2">
      <c r="G148" s="49"/>
    </row>
    <row r="149" spans="7:7" ht="13.2">
      <c r="G149" s="49"/>
    </row>
    <row r="150" spans="7:7" ht="13.2">
      <c r="G150" s="49"/>
    </row>
    <row r="151" spans="7:7" ht="13.2">
      <c r="G151" s="49"/>
    </row>
    <row r="152" spans="7:7" ht="13.2">
      <c r="G152" s="49"/>
    </row>
    <row r="153" spans="7:7" ht="13.2">
      <c r="G153" s="49"/>
    </row>
    <row r="154" spans="7:7" ht="13.2">
      <c r="G154" s="49"/>
    </row>
    <row r="155" spans="7:7" ht="13.2">
      <c r="G155" s="49"/>
    </row>
    <row r="156" spans="7:7" ht="13.2">
      <c r="G156" s="49"/>
    </row>
    <row r="157" spans="7:7" ht="13.2">
      <c r="G157" s="49"/>
    </row>
    <row r="158" spans="7:7" ht="13.2">
      <c r="G158" s="49"/>
    </row>
    <row r="159" spans="7:7" ht="13.2">
      <c r="G159" s="49"/>
    </row>
    <row r="160" spans="7:7" ht="13.2">
      <c r="G160" s="49"/>
    </row>
    <row r="161" spans="7:7" ht="13.2">
      <c r="G161" s="49"/>
    </row>
    <row r="162" spans="7:7" ht="13.2">
      <c r="G162" s="49"/>
    </row>
    <row r="163" spans="7:7" ht="13.2">
      <c r="G163" s="49"/>
    </row>
    <row r="164" spans="7:7" ht="13.2">
      <c r="G164" s="49"/>
    </row>
    <row r="165" spans="7:7" ht="13.2">
      <c r="G165" s="49"/>
    </row>
    <row r="166" spans="7:7" ht="13.2">
      <c r="G166" s="49"/>
    </row>
    <row r="167" spans="7:7" ht="13.2">
      <c r="G167" s="49"/>
    </row>
    <row r="168" spans="7:7" ht="13.2">
      <c r="G168" s="49"/>
    </row>
    <row r="169" spans="7:7" ht="13.2">
      <c r="G169" s="49"/>
    </row>
    <row r="170" spans="7:7" ht="13.2">
      <c r="G170" s="49"/>
    </row>
    <row r="171" spans="7:7" ht="13.2">
      <c r="G171" s="49"/>
    </row>
    <row r="172" spans="7:7" ht="13.2">
      <c r="G172" s="49"/>
    </row>
    <row r="173" spans="7:7" ht="13.2">
      <c r="G173" s="49"/>
    </row>
    <row r="174" spans="7:7" ht="13.2">
      <c r="G174" s="49"/>
    </row>
    <row r="175" spans="7:7" ht="13.2">
      <c r="G175" s="49"/>
    </row>
    <row r="176" spans="7:7" ht="13.2">
      <c r="G176" s="49"/>
    </row>
    <row r="177" spans="7:7" ht="13.2">
      <c r="G177" s="49"/>
    </row>
    <row r="178" spans="7:7" ht="13.2">
      <c r="G178" s="49"/>
    </row>
    <row r="179" spans="7:7" ht="13.2">
      <c r="G179" s="49"/>
    </row>
    <row r="180" spans="7:7" ht="13.2">
      <c r="G180" s="49"/>
    </row>
    <row r="181" spans="7:7" ht="13.2">
      <c r="G181" s="49"/>
    </row>
    <row r="182" spans="7:7" ht="13.2">
      <c r="G182" s="49"/>
    </row>
    <row r="183" spans="7:7" ht="13.2">
      <c r="G183" s="49"/>
    </row>
    <row r="184" spans="7:7" ht="13.2">
      <c r="G184" s="49"/>
    </row>
    <row r="185" spans="7:7" ht="13.2">
      <c r="G185" s="49"/>
    </row>
    <row r="186" spans="7:7" ht="13.2">
      <c r="G186" s="49"/>
    </row>
    <row r="187" spans="7:7" ht="13.2">
      <c r="G187" s="49"/>
    </row>
    <row r="188" spans="7:7" ht="13.2">
      <c r="G188" s="49"/>
    </row>
    <row r="189" spans="7:7" ht="13.2">
      <c r="G189" s="49"/>
    </row>
    <row r="190" spans="7:7" ht="13.2">
      <c r="G190" s="49"/>
    </row>
    <row r="191" spans="7:7" ht="13.2">
      <c r="G191" s="49"/>
    </row>
    <row r="192" spans="7:7" ht="13.2">
      <c r="G192" s="49"/>
    </row>
    <row r="193" spans="7:7" ht="13.2">
      <c r="G193" s="49"/>
    </row>
    <row r="194" spans="7:7" ht="13.2">
      <c r="G194" s="49"/>
    </row>
    <row r="195" spans="7:7" ht="13.2">
      <c r="G195" s="49"/>
    </row>
    <row r="196" spans="7:7" ht="13.2">
      <c r="G196" s="49"/>
    </row>
    <row r="197" spans="7:7" ht="13.2">
      <c r="G197" s="49"/>
    </row>
    <row r="198" spans="7:7" ht="13.2">
      <c r="G198" s="49"/>
    </row>
    <row r="199" spans="7:7" ht="13.2">
      <c r="G199" s="49"/>
    </row>
    <row r="200" spans="7:7" ht="13.2">
      <c r="G200" s="49"/>
    </row>
    <row r="201" spans="7:7" ht="13.2">
      <c r="G201" s="49"/>
    </row>
    <row r="202" spans="7:7" ht="13.2">
      <c r="G202" s="49"/>
    </row>
    <row r="203" spans="7:7" ht="13.2">
      <c r="G203" s="49"/>
    </row>
    <row r="204" spans="7:7" ht="13.2">
      <c r="G204" s="49"/>
    </row>
    <row r="205" spans="7:7" ht="13.2">
      <c r="G205" s="49"/>
    </row>
    <row r="206" spans="7:7" ht="13.2">
      <c r="G206" s="49"/>
    </row>
    <row r="207" spans="7:7" ht="13.2">
      <c r="G207" s="49"/>
    </row>
    <row r="208" spans="7:7" ht="13.2">
      <c r="G208" s="49"/>
    </row>
    <row r="209" spans="7:7" ht="13.2">
      <c r="G209" s="49"/>
    </row>
    <row r="210" spans="7:7" ht="13.2">
      <c r="G210" s="49"/>
    </row>
    <row r="211" spans="7:7" ht="13.2">
      <c r="G211" s="49"/>
    </row>
    <row r="212" spans="7:7" ht="13.2">
      <c r="G212" s="49"/>
    </row>
    <row r="213" spans="7:7" ht="13.2">
      <c r="G213" s="49"/>
    </row>
    <row r="214" spans="7:7" ht="13.2">
      <c r="G214" s="49"/>
    </row>
    <row r="215" spans="7:7" ht="13.2">
      <c r="G215" s="49"/>
    </row>
    <row r="216" spans="7:7" ht="13.2">
      <c r="G216" s="49"/>
    </row>
    <row r="217" spans="7:7" ht="13.2">
      <c r="G217" s="49"/>
    </row>
    <row r="218" spans="7:7" ht="13.2">
      <c r="G218" s="49"/>
    </row>
    <row r="219" spans="7:7" ht="13.2">
      <c r="G219" s="49"/>
    </row>
    <row r="220" spans="7:7" ht="13.2">
      <c r="G220" s="49"/>
    </row>
    <row r="221" spans="7:7" ht="13.2">
      <c r="G221" s="49"/>
    </row>
    <row r="222" spans="7:7" ht="13.2">
      <c r="G222" s="49"/>
    </row>
    <row r="223" spans="7:7" ht="13.2">
      <c r="G223" s="49"/>
    </row>
    <row r="224" spans="7:7" ht="13.2">
      <c r="G224" s="49"/>
    </row>
    <row r="225" spans="7:7" ht="13.2">
      <c r="G225" s="49"/>
    </row>
    <row r="226" spans="7:7" ht="13.2">
      <c r="G226" s="49"/>
    </row>
    <row r="227" spans="7:7" ht="13.2">
      <c r="G227" s="49"/>
    </row>
    <row r="228" spans="7:7" ht="13.2">
      <c r="G228" s="49"/>
    </row>
    <row r="229" spans="7:7" ht="13.2">
      <c r="G229" s="49"/>
    </row>
    <row r="230" spans="7:7" ht="13.2">
      <c r="G230" s="49"/>
    </row>
    <row r="231" spans="7:7" ht="13.2">
      <c r="G231" s="49"/>
    </row>
    <row r="232" spans="7:7" ht="13.2">
      <c r="G232" s="49"/>
    </row>
    <row r="233" spans="7:7" ht="13.2">
      <c r="G233" s="49"/>
    </row>
    <row r="234" spans="7:7" ht="13.2">
      <c r="G234" s="49"/>
    </row>
    <row r="235" spans="7:7" ht="13.2">
      <c r="G235" s="49"/>
    </row>
    <row r="236" spans="7:7" ht="13.2">
      <c r="G236" s="49"/>
    </row>
    <row r="237" spans="7:7" ht="13.2">
      <c r="G237" s="49"/>
    </row>
    <row r="238" spans="7:7" ht="13.2">
      <c r="G238" s="49"/>
    </row>
    <row r="239" spans="7:7" ht="13.2">
      <c r="G239" s="49"/>
    </row>
    <row r="240" spans="7:7" ht="13.2">
      <c r="G240" s="49"/>
    </row>
    <row r="241" spans="7:7" ht="13.2">
      <c r="G241" s="49"/>
    </row>
    <row r="242" spans="7:7" ht="13.2">
      <c r="G242" s="49"/>
    </row>
    <row r="243" spans="7:7" ht="13.2">
      <c r="G243" s="49"/>
    </row>
    <row r="244" spans="7:7" ht="13.2">
      <c r="G244" s="49"/>
    </row>
    <row r="245" spans="7:7" ht="13.2">
      <c r="G245" s="49"/>
    </row>
    <row r="246" spans="7:7" ht="13.2">
      <c r="G246" s="49"/>
    </row>
    <row r="247" spans="7:7" ht="13.2">
      <c r="G247" s="49"/>
    </row>
    <row r="248" spans="7:7" ht="13.2">
      <c r="G248" s="49"/>
    </row>
    <row r="249" spans="7:7" ht="13.2">
      <c r="G249" s="49"/>
    </row>
    <row r="250" spans="7:7" ht="13.2">
      <c r="G250" s="49"/>
    </row>
    <row r="251" spans="7:7" ht="13.2">
      <c r="G251" s="49"/>
    </row>
    <row r="252" spans="7:7" ht="13.2">
      <c r="G252" s="49"/>
    </row>
    <row r="253" spans="7:7" ht="13.2">
      <c r="G253" s="49"/>
    </row>
    <row r="254" spans="7:7" ht="13.2">
      <c r="G254" s="49"/>
    </row>
    <row r="255" spans="7:7" ht="13.2">
      <c r="G255" s="49"/>
    </row>
    <row r="256" spans="7:7" ht="13.2">
      <c r="G256" s="49"/>
    </row>
    <row r="257" spans="7:7" ht="13.2">
      <c r="G257" s="49"/>
    </row>
    <row r="258" spans="7:7" ht="13.2">
      <c r="G258" s="49"/>
    </row>
    <row r="259" spans="7:7" ht="13.2">
      <c r="G259" s="49"/>
    </row>
    <row r="260" spans="7:7" ht="13.2">
      <c r="G260" s="49"/>
    </row>
    <row r="261" spans="7:7" ht="13.2">
      <c r="G261" s="49"/>
    </row>
    <row r="262" spans="7:7" ht="13.2">
      <c r="G262" s="49"/>
    </row>
    <row r="263" spans="7:7" ht="13.2">
      <c r="G263" s="49"/>
    </row>
    <row r="264" spans="7:7" ht="13.2">
      <c r="G264" s="49"/>
    </row>
    <row r="265" spans="7:7" ht="13.2">
      <c r="G265" s="49"/>
    </row>
    <row r="266" spans="7:7" ht="13.2">
      <c r="G266" s="49"/>
    </row>
    <row r="267" spans="7:7" ht="13.2">
      <c r="G267" s="49"/>
    </row>
    <row r="268" spans="7:7" ht="13.2">
      <c r="G268" s="49"/>
    </row>
    <row r="269" spans="7:7" ht="13.2">
      <c r="G269" s="49"/>
    </row>
    <row r="270" spans="7:7" ht="13.2">
      <c r="G270" s="49"/>
    </row>
    <row r="271" spans="7:7" ht="13.2">
      <c r="G271" s="49"/>
    </row>
    <row r="272" spans="7:7" ht="13.2">
      <c r="G272" s="49"/>
    </row>
    <row r="273" spans="7:7" ht="13.2">
      <c r="G273" s="49"/>
    </row>
    <row r="274" spans="7:7" ht="13.2">
      <c r="G274" s="49"/>
    </row>
    <row r="275" spans="7:7" ht="13.2">
      <c r="G275" s="49"/>
    </row>
    <row r="276" spans="7:7" ht="13.2">
      <c r="G276" s="49"/>
    </row>
    <row r="277" spans="7:7" ht="13.2">
      <c r="G277" s="49"/>
    </row>
    <row r="278" spans="7:7" ht="13.2">
      <c r="G278" s="49"/>
    </row>
    <row r="279" spans="7:7" ht="13.2">
      <c r="G279" s="49"/>
    </row>
    <row r="280" spans="7:7" ht="13.2">
      <c r="G280" s="49"/>
    </row>
    <row r="281" spans="7:7" ht="13.2">
      <c r="G281" s="49"/>
    </row>
    <row r="282" spans="7:7" ht="13.2">
      <c r="G282" s="49"/>
    </row>
    <row r="283" spans="7:7" ht="13.2">
      <c r="G283" s="49"/>
    </row>
    <row r="284" spans="7:7" ht="13.2">
      <c r="G284" s="49"/>
    </row>
    <row r="285" spans="7:7" ht="13.2">
      <c r="G285" s="49"/>
    </row>
    <row r="286" spans="7:7" ht="13.2">
      <c r="G286" s="49"/>
    </row>
    <row r="287" spans="7:7" ht="13.2">
      <c r="G287" s="49"/>
    </row>
    <row r="288" spans="7:7" ht="13.2">
      <c r="G288" s="49"/>
    </row>
    <row r="289" spans="7:7" ht="13.2">
      <c r="G289" s="49"/>
    </row>
    <row r="290" spans="7:7" ht="13.2">
      <c r="G290" s="49"/>
    </row>
    <row r="291" spans="7:7" ht="13.2">
      <c r="G291" s="49"/>
    </row>
    <row r="292" spans="7:7" ht="13.2">
      <c r="G292" s="49"/>
    </row>
    <row r="293" spans="7:7" ht="13.2">
      <c r="G293" s="49"/>
    </row>
    <row r="294" spans="7:7" ht="13.2">
      <c r="G294" s="49"/>
    </row>
    <row r="295" spans="7:7" ht="13.2">
      <c r="G295" s="49"/>
    </row>
    <row r="296" spans="7:7" ht="13.2">
      <c r="G296" s="49"/>
    </row>
    <row r="297" spans="7:7" ht="13.2">
      <c r="G297" s="49"/>
    </row>
    <row r="298" spans="7:7" ht="13.2">
      <c r="G298" s="49"/>
    </row>
    <row r="299" spans="7:7" ht="13.2">
      <c r="G299" s="49"/>
    </row>
    <row r="300" spans="7:7" ht="13.2">
      <c r="G300" s="49"/>
    </row>
    <row r="301" spans="7:7" ht="13.2">
      <c r="G301" s="49"/>
    </row>
    <row r="302" spans="7:7" ht="13.2">
      <c r="G302" s="49"/>
    </row>
    <row r="303" spans="7:7" ht="13.2">
      <c r="G303" s="49"/>
    </row>
    <row r="304" spans="7:7" ht="13.2">
      <c r="G304" s="49"/>
    </row>
    <row r="305" spans="7:7" ht="13.2">
      <c r="G305" s="49"/>
    </row>
    <row r="306" spans="7:7" ht="13.2">
      <c r="G306" s="49"/>
    </row>
    <row r="307" spans="7:7" ht="13.2">
      <c r="G307" s="49"/>
    </row>
    <row r="308" spans="7:7" ht="13.2">
      <c r="G308" s="49"/>
    </row>
    <row r="309" spans="7:7" ht="13.2">
      <c r="G309" s="49"/>
    </row>
    <row r="310" spans="7:7" ht="13.2">
      <c r="G310" s="49"/>
    </row>
    <row r="311" spans="7:7" ht="13.2">
      <c r="G311" s="49"/>
    </row>
    <row r="312" spans="7:7" ht="13.2">
      <c r="G312" s="49"/>
    </row>
    <row r="313" spans="7:7" ht="13.2">
      <c r="G313" s="49"/>
    </row>
    <row r="314" spans="7:7" ht="13.2">
      <c r="G314" s="49"/>
    </row>
    <row r="315" spans="7:7" ht="13.2">
      <c r="G315" s="49"/>
    </row>
    <row r="316" spans="7:7" ht="13.2">
      <c r="G316" s="49"/>
    </row>
    <row r="317" spans="7:7" ht="13.2">
      <c r="G317" s="49"/>
    </row>
    <row r="318" spans="7:7" ht="13.2">
      <c r="G318" s="49"/>
    </row>
    <row r="319" spans="7:7" ht="13.2">
      <c r="G319" s="49"/>
    </row>
    <row r="320" spans="7:7" ht="13.2">
      <c r="G320" s="49"/>
    </row>
    <row r="321" spans="7:7" ht="13.2">
      <c r="G321" s="49"/>
    </row>
    <row r="322" spans="7:7" ht="13.2">
      <c r="G322" s="49"/>
    </row>
    <row r="323" spans="7:7" ht="13.2">
      <c r="G323" s="49"/>
    </row>
    <row r="324" spans="7:7" ht="13.2">
      <c r="G324" s="49"/>
    </row>
    <row r="325" spans="7:7" ht="13.2">
      <c r="G325" s="49"/>
    </row>
    <row r="326" spans="7:7" ht="13.2">
      <c r="G326" s="49"/>
    </row>
    <row r="327" spans="7:7" ht="13.2">
      <c r="G327" s="49"/>
    </row>
    <row r="328" spans="7:7" ht="13.2">
      <c r="G328" s="49"/>
    </row>
    <row r="329" spans="7:7" ht="13.2">
      <c r="G329" s="49"/>
    </row>
    <row r="330" spans="7:7" ht="13.2">
      <c r="G330" s="49"/>
    </row>
    <row r="331" spans="7:7" ht="13.2">
      <c r="G331" s="49"/>
    </row>
    <row r="332" spans="7:7" ht="13.2">
      <c r="G332" s="49"/>
    </row>
    <row r="333" spans="7:7" ht="13.2">
      <c r="G333" s="49"/>
    </row>
    <row r="334" spans="7:7" ht="13.2">
      <c r="G334" s="49"/>
    </row>
    <row r="335" spans="7:7" ht="13.2">
      <c r="G335" s="49"/>
    </row>
    <row r="336" spans="7:7" ht="13.2">
      <c r="G336" s="49"/>
    </row>
    <row r="337" spans="7:7" ht="13.2">
      <c r="G337" s="49"/>
    </row>
    <row r="338" spans="7:7" ht="13.2">
      <c r="G338" s="49"/>
    </row>
    <row r="339" spans="7:7" ht="13.2">
      <c r="G339" s="49"/>
    </row>
    <row r="340" spans="7:7" ht="13.2">
      <c r="G340" s="49"/>
    </row>
    <row r="341" spans="7:7" ht="13.2">
      <c r="G341" s="49"/>
    </row>
    <row r="342" spans="7:7" ht="13.2">
      <c r="G342" s="49"/>
    </row>
    <row r="343" spans="7:7" ht="13.2">
      <c r="G343" s="49"/>
    </row>
    <row r="344" spans="7:7" ht="13.2">
      <c r="G344" s="49"/>
    </row>
    <row r="345" spans="7:7" ht="13.2">
      <c r="G345" s="49"/>
    </row>
    <row r="346" spans="7:7" ht="13.2">
      <c r="G346" s="49"/>
    </row>
    <row r="347" spans="7:7" ht="13.2">
      <c r="G347" s="49"/>
    </row>
    <row r="348" spans="7:7" ht="13.2">
      <c r="G348" s="49"/>
    </row>
    <row r="349" spans="7:7" ht="13.2">
      <c r="G349" s="49"/>
    </row>
    <row r="350" spans="7:7" ht="13.2">
      <c r="G350" s="49"/>
    </row>
    <row r="351" spans="7:7" ht="13.2">
      <c r="G351" s="49"/>
    </row>
    <row r="352" spans="7:7" ht="13.2">
      <c r="G352" s="49"/>
    </row>
    <row r="353" spans="7:7" ht="13.2">
      <c r="G353" s="49"/>
    </row>
    <row r="354" spans="7:7" ht="13.2">
      <c r="G354" s="49"/>
    </row>
    <row r="355" spans="7:7" ht="13.2">
      <c r="G355" s="49"/>
    </row>
    <row r="356" spans="7:7" ht="13.2">
      <c r="G356" s="49"/>
    </row>
    <row r="357" spans="7:7" ht="13.2">
      <c r="G357" s="49"/>
    </row>
    <row r="358" spans="7:7" ht="13.2">
      <c r="G358" s="49"/>
    </row>
    <row r="359" spans="7:7" ht="13.2">
      <c r="G359" s="49"/>
    </row>
    <row r="360" spans="7:7" ht="13.2">
      <c r="G360" s="49"/>
    </row>
    <row r="361" spans="7:7" ht="13.2">
      <c r="G361" s="49"/>
    </row>
    <row r="362" spans="7:7" ht="13.2">
      <c r="G362" s="49"/>
    </row>
    <row r="363" spans="7:7" ht="13.2">
      <c r="G363" s="49"/>
    </row>
    <row r="364" spans="7:7" ht="13.2">
      <c r="G364" s="49"/>
    </row>
    <row r="365" spans="7:7" ht="13.2">
      <c r="G365" s="49"/>
    </row>
    <row r="366" spans="7:7" ht="13.2">
      <c r="G366" s="49"/>
    </row>
    <row r="367" spans="7:7" ht="13.2">
      <c r="G367" s="49"/>
    </row>
    <row r="368" spans="7:7" ht="13.2">
      <c r="G368" s="49"/>
    </row>
    <row r="369" spans="7:7" ht="13.2">
      <c r="G369" s="49"/>
    </row>
    <row r="370" spans="7:7" ht="13.2">
      <c r="G370" s="49"/>
    </row>
    <row r="371" spans="7:7" ht="13.2">
      <c r="G371" s="49"/>
    </row>
    <row r="372" spans="7:7" ht="13.2">
      <c r="G372" s="49"/>
    </row>
    <row r="373" spans="7:7" ht="13.2">
      <c r="G373" s="49"/>
    </row>
    <row r="374" spans="7:7" ht="13.2">
      <c r="G374" s="49"/>
    </row>
    <row r="375" spans="7:7" ht="13.2">
      <c r="G375" s="49"/>
    </row>
    <row r="376" spans="7:7" ht="13.2">
      <c r="G376" s="49"/>
    </row>
    <row r="377" spans="7:7" ht="13.2">
      <c r="G377" s="49"/>
    </row>
    <row r="378" spans="7:7" ht="13.2">
      <c r="G378" s="49"/>
    </row>
    <row r="379" spans="7:7" ht="13.2">
      <c r="G379" s="49"/>
    </row>
    <row r="380" spans="7:7" ht="13.2">
      <c r="G380" s="49"/>
    </row>
    <row r="381" spans="7:7" ht="13.2">
      <c r="G381" s="49"/>
    </row>
    <row r="382" spans="7:7" ht="13.2">
      <c r="G382" s="49"/>
    </row>
    <row r="383" spans="7:7" ht="13.2">
      <c r="G383" s="49"/>
    </row>
    <row r="384" spans="7:7" ht="13.2">
      <c r="G384" s="49"/>
    </row>
    <row r="385" spans="7:7" ht="13.2">
      <c r="G385" s="49"/>
    </row>
    <row r="386" spans="7:7" ht="13.2">
      <c r="G386" s="49"/>
    </row>
    <row r="387" spans="7:7" ht="13.2">
      <c r="G387" s="49"/>
    </row>
    <row r="388" spans="7:7" ht="13.2">
      <c r="G388" s="49"/>
    </row>
    <row r="389" spans="7:7" ht="13.2">
      <c r="G389" s="49"/>
    </row>
    <row r="390" spans="7:7" ht="13.2">
      <c r="G390" s="49"/>
    </row>
    <row r="391" spans="7:7" ht="13.2">
      <c r="G391" s="49"/>
    </row>
    <row r="392" spans="7:7" ht="13.2">
      <c r="G392" s="49"/>
    </row>
    <row r="393" spans="7:7" ht="13.2">
      <c r="G393" s="49"/>
    </row>
    <row r="394" spans="7:7" ht="13.2">
      <c r="G394" s="49"/>
    </row>
    <row r="395" spans="7:7" ht="13.2">
      <c r="G395" s="49"/>
    </row>
    <row r="396" spans="7:7" ht="13.2">
      <c r="G396" s="49"/>
    </row>
    <row r="397" spans="7:7" ht="13.2">
      <c r="G397" s="49"/>
    </row>
    <row r="398" spans="7:7" ht="13.2">
      <c r="G398" s="49"/>
    </row>
    <row r="399" spans="7:7" ht="13.2">
      <c r="G399" s="49"/>
    </row>
    <row r="400" spans="7:7" ht="13.2">
      <c r="G400" s="49"/>
    </row>
    <row r="401" spans="7:7" ht="13.2">
      <c r="G401" s="49"/>
    </row>
    <row r="402" spans="7:7" ht="13.2">
      <c r="G402" s="49"/>
    </row>
    <row r="403" spans="7:7" ht="13.2">
      <c r="G403" s="49"/>
    </row>
    <row r="404" spans="7:7" ht="13.2">
      <c r="G404" s="49"/>
    </row>
    <row r="405" spans="7:7" ht="13.2">
      <c r="G405" s="49"/>
    </row>
    <row r="406" spans="7:7" ht="13.2">
      <c r="G406" s="49"/>
    </row>
    <row r="407" spans="7:7" ht="13.2">
      <c r="G407" s="49"/>
    </row>
    <row r="408" spans="7:7" ht="13.2">
      <c r="G408" s="49"/>
    </row>
    <row r="409" spans="7:7" ht="13.2">
      <c r="G409" s="49"/>
    </row>
    <row r="410" spans="7:7" ht="13.2">
      <c r="G410" s="49"/>
    </row>
    <row r="411" spans="7:7" ht="13.2">
      <c r="G411" s="49"/>
    </row>
    <row r="412" spans="7:7" ht="13.2">
      <c r="G412" s="49"/>
    </row>
    <row r="413" spans="7:7" ht="13.2">
      <c r="G413" s="49"/>
    </row>
    <row r="414" spans="7:7" ht="13.2">
      <c r="G414" s="49"/>
    </row>
    <row r="415" spans="7:7" ht="13.2">
      <c r="G415" s="49"/>
    </row>
    <row r="416" spans="7:7" ht="13.2">
      <c r="G416" s="49"/>
    </row>
    <row r="417" spans="7:7" ht="13.2">
      <c r="G417" s="49"/>
    </row>
    <row r="418" spans="7:7" ht="13.2">
      <c r="G418" s="49"/>
    </row>
    <row r="419" spans="7:7" ht="13.2">
      <c r="G419" s="49"/>
    </row>
    <row r="420" spans="7:7" ht="13.2">
      <c r="G420" s="49"/>
    </row>
    <row r="421" spans="7:7" ht="13.2">
      <c r="G421" s="49"/>
    </row>
    <row r="422" spans="7:7" ht="13.2">
      <c r="G422" s="49"/>
    </row>
    <row r="423" spans="7:7" ht="13.2">
      <c r="G423" s="49"/>
    </row>
    <row r="424" spans="7:7" ht="13.2">
      <c r="G424" s="49"/>
    </row>
    <row r="425" spans="7:7" ht="13.2">
      <c r="G425" s="49"/>
    </row>
    <row r="426" spans="7:7" ht="13.2">
      <c r="G426" s="49"/>
    </row>
    <row r="427" spans="7:7" ht="13.2">
      <c r="G427" s="49"/>
    </row>
    <row r="428" spans="7:7" ht="13.2">
      <c r="G428" s="49"/>
    </row>
    <row r="429" spans="7:7" ht="13.2">
      <c r="G429" s="49"/>
    </row>
    <row r="430" spans="7:7" ht="13.2">
      <c r="G430" s="49"/>
    </row>
    <row r="431" spans="7:7" ht="13.2">
      <c r="G431" s="49"/>
    </row>
    <row r="432" spans="7:7" ht="13.2">
      <c r="G432" s="49"/>
    </row>
    <row r="433" spans="7:7" ht="13.2">
      <c r="G433" s="49"/>
    </row>
    <row r="434" spans="7:7" ht="13.2">
      <c r="G434" s="49"/>
    </row>
    <row r="435" spans="7:7" ht="13.2">
      <c r="G435" s="49"/>
    </row>
    <row r="436" spans="7:7" ht="13.2">
      <c r="G436" s="49"/>
    </row>
    <row r="437" spans="7:7" ht="13.2">
      <c r="G437" s="49"/>
    </row>
    <row r="438" spans="7:7" ht="13.2">
      <c r="G438" s="49"/>
    </row>
    <row r="439" spans="7:7" ht="13.2">
      <c r="G439" s="49"/>
    </row>
    <row r="440" spans="7:7" ht="13.2">
      <c r="G440" s="49"/>
    </row>
    <row r="441" spans="7:7" ht="13.2">
      <c r="G441" s="49"/>
    </row>
    <row r="442" spans="7:7" ht="13.2">
      <c r="G442" s="49"/>
    </row>
    <row r="443" spans="7:7" ht="13.2">
      <c r="G443" s="49"/>
    </row>
    <row r="444" spans="7:7" ht="13.2">
      <c r="G444" s="49"/>
    </row>
    <row r="445" spans="7:7" ht="13.2">
      <c r="G445" s="49"/>
    </row>
    <row r="446" spans="7:7" ht="13.2">
      <c r="G446" s="49"/>
    </row>
    <row r="447" spans="7:7" ht="13.2">
      <c r="G447" s="49"/>
    </row>
    <row r="448" spans="7:7" ht="13.2">
      <c r="G448" s="49"/>
    </row>
    <row r="449" spans="7:7" ht="13.2">
      <c r="G449" s="49"/>
    </row>
    <row r="450" spans="7:7" ht="13.2">
      <c r="G450" s="49"/>
    </row>
    <row r="451" spans="7:7" ht="13.2">
      <c r="G451" s="49"/>
    </row>
    <row r="452" spans="7:7" ht="13.2">
      <c r="G452" s="49"/>
    </row>
    <row r="453" spans="7:7" ht="13.2">
      <c r="G453" s="49"/>
    </row>
    <row r="454" spans="7:7" ht="13.2">
      <c r="G454" s="49"/>
    </row>
    <row r="455" spans="7:7" ht="13.2">
      <c r="G455" s="49"/>
    </row>
    <row r="456" spans="7:7" ht="13.2">
      <c r="G456" s="49"/>
    </row>
    <row r="457" spans="7:7" ht="13.2">
      <c r="G457" s="49"/>
    </row>
    <row r="458" spans="7:7" ht="13.2">
      <c r="G458" s="49"/>
    </row>
    <row r="459" spans="7:7" ht="13.2">
      <c r="G459" s="49"/>
    </row>
    <row r="460" spans="7:7" ht="13.2">
      <c r="G460" s="49"/>
    </row>
    <row r="461" spans="7:7" ht="13.2">
      <c r="G461" s="49"/>
    </row>
    <row r="462" spans="7:7" ht="13.2">
      <c r="G462" s="49"/>
    </row>
    <row r="463" spans="7:7" ht="13.2">
      <c r="G463" s="49"/>
    </row>
    <row r="464" spans="7:7" ht="13.2">
      <c r="G464" s="49"/>
    </row>
    <row r="465" spans="7:7" ht="13.2">
      <c r="G465" s="49"/>
    </row>
    <row r="466" spans="7:7" ht="13.2">
      <c r="G466" s="49"/>
    </row>
    <row r="467" spans="7:7" ht="13.2">
      <c r="G467" s="49"/>
    </row>
    <row r="468" spans="7:7" ht="13.2">
      <c r="G468" s="49"/>
    </row>
    <row r="469" spans="7:7" ht="13.2">
      <c r="G469" s="49"/>
    </row>
    <row r="470" spans="7:7" ht="13.2">
      <c r="G470" s="49"/>
    </row>
    <row r="471" spans="7:7" ht="13.2">
      <c r="G471" s="49"/>
    </row>
    <row r="472" spans="7:7" ht="13.2">
      <c r="G472" s="49"/>
    </row>
    <row r="473" spans="7:7" ht="13.2">
      <c r="G473" s="49"/>
    </row>
    <row r="474" spans="7:7" ht="13.2">
      <c r="G474" s="49"/>
    </row>
    <row r="475" spans="7:7" ht="13.2">
      <c r="G475" s="49"/>
    </row>
    <row r="476" spans="7:7" ht="13.2">
      <c r="G476" s="49"/>
    </row>
    <row r="477" spans="7:7" ht="13.2">
      <c r="G477" s="49"/>
    </row>
    <row r="478" spans="7:7" ht="13.2">
      <c r="G478" s="49"/>
    </row>
    <row r="479" spans="7:7" ht="13.2">
      <c r="G479" s="49"/>
    </row>
    <row r="480" spans="7:7" ht="13.2">
      <c r="G480" s="49"/>
    </row>
    <row r="481" spans="7:7" ht="13.2">
      <c r="G481" s="49"/>
    </row>
    <row r="482" spans="7:7" ht="13.2">
      <c r="G482" s="49"/>
    </row>
    <row r="483" spans="7:7" ht="13.2">
      <c r="G483" s="49"/>
    </row>
    <row r="484" spans="7:7" ht="13.2">
      <c r="G484" s="49"/>
    </row>
    <row r="485" spans="7:7" ht="13.2">
      <c r="G485" s="49"/>
    </row>
    <row r="486" spans="7:7" ht="13.2">
      <c r="G486" s="49"/>
    </row>
    <row r="487" spans="7:7" ht="13.2">
      <c r="G487" s="49"/>
    </row>
    <row r="488" spans="7:7" ht="13.2">
      <c r="G488" s="49"/>
    </row>
    <row r="489" spans="7:7" ht="13.2">
      <c r="G489" s="49"/>
    </row>
    <row r="490" spans="7:7" ht="13.2">
      <c r="G490" s="49"/>
    </row>
    <row r="491" spans="7:7" ht="13.2">
      <c r="G491" s="49"/>
    </row>
    <row r="492" spans="7:7" ht="13.2">
      <c r="G492" s="49"/>
    </row>
    <row r="493" spans="7:7" ht="13.2">
      <c r="G493" s="49"/>
    </row>
    <row r="494" spans="7:7" ht="13.2">
      <c r="G494" s="49"/>
    </row>
    <row r="495" spans="7:7" ht="13.2">
      <c r="G495" s="49"/>
    </row>
    <row r="496" spans="7:7" ht="13.2">
      <c r="G496" s="49"/>
    </row>
    <row r="497" spans="7:7" ht="13.2">
      <c r="G497" s="49"/>
    </row>
    <row r="498" spans="7:7" ht="13.2">
      <c r="G498" s="49"/>
    </row>
    <row r="499" spans="7:7" ht="13.2">
      <c r="G499" s="49"/>
    </row>
    <row r="500" spans="7:7" ht="13.2">
      <c r="G500" s="49"/>
    </row>
    <row r="501" spans="7:7" ht="13.2">
      <c r="G501" s="49"/>
    </row>
    <row r="502" spans="7:7" ht="13.2">
      <c r="G502" s="49"/>
    </row>
    <row r="503" spans="7:7" ht="13.2">
      <c r="G503" s="49"/>
    </row>
    <row r="504" spans="7:7" ht="13.2">
      <c r="G504" s="49"/>
    </row>
    <row r="505" spans="7:7" ht="13.2">
      <c r="G505" s="49"/>
    </row>
    <row r="506" spans="7:7" ht="13.2">
      <c r="G506" s="49"/>
    </row>
    <row r="507" spans="7:7" ht="13.2">
      <c r="G507" s="49"/>
    </row>
    <row r="508" spans="7:7" ht="13.2">
      <c r="G508" s="49"/>
    </row>
    <row r="509" spans="7:7" ht="13.2">
      <c r="G509" s="49"/>
    </row>
    <row r="510" spans="7:7" ht="13.2">
      <c r="G510" s="49"/>
    </row>
    <row r="511" spans="7:7" ht="13.2">
      <c r="G511" s="49"/>
    </row>
    <row r="512" spans="7:7" ht="13.2">
      <c r="G512" s="49"/>
    </row>
    <row r="513" spans="7:7" ht="13.2">
      <c r="G513" s="49"/>
    </row>
    <row r="514" spans="7:7" ht="13.2">
      <c r="G514" s="49"/>
    </row>
    <row r="515" spans="7:7" ht="13.2">
      <c r="G515" s="49"/>
    </row>
    <row r="516" spans="7:7" ht="13.2">
      <c r="G516" s="49"/>
    </row>
    <row r="517" spans="7:7" ht="13.2">
      <c r="G517" s="49"/>
    </row>
    <row r="518" spans="7:7" ht="13.2">
      <c r="G518" s="49"/>
    </row>
    <row r="519" spans="7:7" ht="13.2">
      <c r="G519" s="49"/>
    </row>
    <row r="520" spans="7:7" ht="13.2">
      <c r="G520" s="49"/>
    </row>
    <row r="521" spans="7:7" ht="13.2">
      <c r="G521" s="49"/>
    </row>
    <row r="522" spans="7:7" ht="13.2">
      <c r="G522" s="49"/>
    </row>
    <row r="523" spans="7:7" ht="13.2">
      <c r="G523" s="49"/>
    </row>
    <row r="524" spans="7:7" ht="13.2">
      <c r="G524" s="49"/>
    </row>
    <row r="525" spans="7:7" ht="13.2">
      <c r="G525" s="49"/>
    </row>
    <row r="526" spans="7:7" ht="13.2">
      <c r="G526" s="49"/>
    </row>
    <row r="527" spans="7:7" ht="13.2">
      <c r="G527" s="49"/>
    </row>
    <row r="528" spans="7:7" ht="13.2">
      <c r="G528" s="49"/>
    </row>
    <row r="529" spans="7:7" ht="13.2">
      <c r="G529" s="49"/>
    </row>
    <row r="530" spans="7:7" ht="13.2">
      <c r="G530" s="49"/>
    </row>
    <row r="531" spans="7:7" ht="13.2">
      <c r="G531" s="49"/>
    </row>
    <row r="532" spans="7:7" ht="13.2">
      <c r="G532" s="49"/>
    </row>
    <row r="533" spans="7:7" ht="13.2">
      <c r="G533" s="49"/>
    </row>
    <row r="534" spans="7:7" ht="13.2">
      <c r="G534" s="49"/>
    </row>
    <row r="535" spans="7:7" ht="13.2">
      <c r="G535" s="49"/>
    </row>
    <row r="536" spans="7:7" ht="13.2">
      <c r="G536" s="49"/>
    </row>
    <row r="537" spans="7:7" ht="13.2">
      <c r="G537" s="49"/>
    </row>
    <row r="538" spans="7:7" ht="13.2">
      <c r="G538" s="49"/>
    </row>
    <row r="539" spans="7:7" ht="13.2">
      <c r="G539" s="49"/>
    </row>
    <row r="540" spans="7:7" ht="13.2">
      <c r="G540" s="49"/>
    </row>
    <row r="541" spans="7:7" ht="13.2">
      <c r="G541" s="49"/>
    </row>
    <row r="542" spans="7:7" ht="13.2">
      <c r="G542" s="49"/>
    </row>
    <row r="543" spans="7:7" ht="13.2">
      <c r="G543" s="49"/>
    </row>
    <row r="544" spans="7:7" ht="13.2">
      <c r="G544" s="49"/>
    </row>
    <row r="545" spans="7:7" ht="13.2">
      <c r="G545" s="49"/>
    </row>
    <row r="546" spans="7:7" ht="13.2">
      <c r="G546" s="49"/>
    </row>
    <row r="547" spans="7:7" ht="13.2">
      <c r="G547" s="49"/>
    </row>
    <row r="548" spans="7:7" ht="13.2">
      <c r="G548" s="49"/>
    </row>
    <row r="549" spans="7:7" ht="13.2">
      <c r="G549" s="49"/>
    </row>
    <row r="550" spans="7:7" ht="13.2">
      <c r="G550" s="49"/>
    </row>
    <row r="551" spans="7:7" ht="13.2">
      <c r="G551" s="49"/>
    </row>
    <row r="552" spans="7:7" ht="13.2">
      <c r="G552" s="49"/>
    </row>
    <row r="553" spans="7:7" ht="13.2">
      <c r="G553" s="49"/>
    </row>
    <row r="554" spans="7:7" ht="13.2">
      <c r="G554" s="49"/>
    </row>
    <row r="555" spans="7:7" ht="13.2">
      <c r="G555" s="49"/>
    </row>
    <row r="556" spans="7:7" ht="13.2">
      <c r="G556" s="49"/>
    </row>
    <row r="557" spans="7:7" ht="13.2">
      <c r="G557" s="49"/>
    </row>
    <row r="558" spans="7:7" ht="13.2">
      <c r="G558" s="49"/>
    </row>
    <row r="559" spans="7:7" ht="13.2">
      <c r="G559" s="49"/>
    </row>
    <row r="560" spans="7:7" ht="13.2">
      <c r="G560" s="49"/>
    </row>
    <row r="561" spans="7:7" ht="13.2">
      <c r="G561" s="49"/>
    </row>
    <row r="562" spans="7:7" ht="13.2">
      <c r="G562" s="49"/>
    </row>
    <row r="563" spans="7:7" ht="13.2">
      <c r="G563" s="49"/>
    </row>
    <row r="564" spans="7:7" ht="13.2">
      <c r="G564" s="49"/>
    </row>
    <row r="565" spans="7:7" ht="13.2">
      <c r="G565" s="49"/>
    </row>
    <row r="566" spans="7:7" ht="13.2">
      <c r="G566" s="49"/>
    </row>
    <row r="567" spans="7:7" ht="13.2">
      <c r="G567" s="49"/>
    </row>
    <row r="568" spans="7:7" ht="13.2">
      <c r="G568" s="49"/>
    </row>
    <row r="569" spans="7:7" ht="13.2">
      <c r="G569" s="49"/>
    </row>
    <row r="570" spans="7:7" ht="13.2">
      <c r="G570" s="49"/>
    </row>
    <row r="571" spans="7:7" ht="13.2">
      <c r="G571" s="49"/>
    </row>
    <row r="572" spans="7:7" ht="13.2">
      <c r="G572" s="49"/>
    </row>
    <row r="573" spans="7:7" ht="13.2">
      <c r="G573" s="49"/>
    </row>
    <row r="574" spans="7:7" ht="13.2">
      <c r="G574" s="49"/>
    </row>
    <row r="575" spans="7:7" ht="13.2">
      <c r="G575" s="49"/>
    </row>
    <row r="576" spans="7:7" ht="13.2">
      <c r="G576" s="49"/>
    </row>
    <row r="577" spans="7:7" ht="13.2">
      <c r="G577" s="49"/>
    </row>
    <row r="578" spans="7:7" ht="13.2">
      <c r="G578" s="49"/>
    </row>
    <row r="579" spans="7:7" ht="13.2">
      <c r="G579" s="49"/>
    </row>
    <row r="580" spans="7:7" ht="13.2">
      <c r="G580" s="49"/>
    </row>
    <row r="581" spans="7:7" ht="13.2">
      <c r="G581" s="49"/>
    </row>
    <row r="582" spans="7:7" ht="13.2">
      <c r="G582" s="49"/>
    </row>
    <row r="583" spans="7:7" ht="13.2">
      <c r="G583" s="49"/>
    </row>
    <row r="584" spans="7:7" ht="13.2">
      <c r="G584" s="49"/>
    </row>
    <row r="585" spans="7:7" ht="13.2">
      <c r="G585" s="49"/>
    </row>
    <row r="586" spans="7:7" ht="13.2">
      <c r="G586" s="49"/>
    </row>
    <row r="587" spans="7:7" ht="13.2">
      <c r="G587" s="49"/>
    </row>
    <row r="588" spans="7:7" ht="13.2">
      <c r="G588" s="49"/>
    </row>
    <row r="589" spans="7:7" ht="13.2">
      <c r="G589" s="49"/>
    </row>
    <row r="590" spans="7:7" ht="13.2">
      <c r="G590" s="49"/>
    </row>
    <row r="591" spans="7:7" ht="13.2">
      <c r="G591" s="49"/>
    </row>
    <row r="592" spans="7:7" ht="13.2">
      <c r="G592" s="49"/>
    </row>
    <row r="593" spans="7:7" ht="13.2">
      <c r="G593" s="49"/>
    </row>
    <row r="594" spans="7:7" ht="13.2">
      <c r="G594" s="49"/>
    </row>
    <row r="595" spans="7:7" ht="13.2">
      <c r="G595" s="49"/>
    </row>
    <row r="596" spans="7:7" ht="13.2">
      <c r="G596" s="49"/>
    </row>
    <row r="597" spans="7:7" ht="13.2">
      <c r="G597" s="49"/>
    </row>
    <row r="598" spans="7:7" ht="13.2">
      <c r="G598" s="49"/>
    </row>
    <row r="599" spans="7:7" ht="13.2">
      <c r="G599" s="49"/>
    </row>
    <row r="600" spans="7:7" ht="13.2">
      <c r="G600" s="49"/>
    </row>
    <row r="601" spans="7:7" ht="13.2">
      <c r="G601" s="49"/>
    </row>
    <row r="602" spans="7:7" ht="13.2">
      <c r="G602" s="49"/>
    </row>
    <row r="603" spans="7:7" ht="13.2">
      <c r="G603" s="49"/>
    </row>
    <row r="604" spans="7:7" ht="13.2">
      <c r="G604" s="49"/>
    </row>
    <row r="605" spans="7:7" ht="13.2">
      <c r="G605" s="49"/>
    </row>
    <row r="606" spans="7:7" ht="13.2">
      <c r="G606" s="49"/>
    </row>
    <row r="607" spans="7:7" ht="13.2">
      <c r="G607" s="49"/>
    </row>
    <row r="608" spans="7:7" ht="13.2">
      <c r="G608" s="49"/>
    </row>
    <row r="609" spans="7:7" ht="13.2">
      <c r="G609" s="49"/>
    </row>
    <row r="610" spans="7:7" ht="13.2">
      <c r="G610" s="49"/>
    </row>
    <row r="611" spans="7:7" ht="13.2">
      <c r="G611" s="49"/>
    </row>
    <row r="612" spans="7:7" ht="13.2">
      <c r="G612" s="49"/>
    </row>
    <row r="613" spans="7:7" ht="13.2">
      <c r="G613" s="49"/>
    </row>
    <row r="614" spans="7:7" ht="13.2">
      <c r="G614" s="49"/>
    </row>
    <row r="615" spans="7:7" ht="13.2">
      <c r="G615" s="49"/>
    </row>
    <row r="616" spans="7:7" ht="13.2">
      <c r="G616" s="49"/>
    </row>
    <row r="617" spans="7:7" ht="13.2">
      <c r="G617" s="49"/>
    </row>
    <row r="618" spans="7:7" ht="13.2">
      <c r="G618" s="49"/>
    </row>
    <row r="619" spans="7:7" ht="13.2">
      <c r="G619" s="49"/>
    </row>
    <row r="620" spans="7:7" ht="13.2">
      <c r="G620" s="49"/>
    </row>
    <row r="621" spans="7:7" ht="13.2">
      <c r="G621" s="49"/>
    </row>
    <row r="622" spans="7:7" ht="13.2">
      <c r="G622" s="49"/>
    </row>
    <row r="623" spans="7:7" ht="13.2">
      <c r="G623" s="49"/>
    </row>
    <row r="624" spans="7:7" ht="13.2">
      <c r="G624" s="49"/>
    </row>
    <row r="625" spans="7:7" ht="13.2">
      <c r="G625" s="49"/>
    </row>
    <row r="626" spans="7:7" ht="13.2">
      <c r="G626" s="49"/>
    </row>
    <row r="627" spans="7:7" ht="13.2">
      <c r="G627" s="49"/>
    </row>
    <row r="628" spans="7:7" ht="13.2">
      <c r="G628" s="49"/>
    </row>
    <row r="629" spans="7:7" ht="13.2">
      <c r="G629" s="49"/>
    </row>
    <row r="630" spans="7:7" ht="13.2">
      <c r="G630" s="49"/>
    </row>
    <row r="631" spans="7:7" ht="13.2">
      <c r="G631" s="49"/>
    </row>
    <row r="632" spans="7:7" ht="13.2">
      <c r="G632" s="49"/>
    </row>
    <row r="633" spans="7:7" ht="13.2">
      <c r="G633" s="49"/>
    </row>
    <row r="634" spans="7:7" ht="13.2">
      <c r="G634" s="49"/>
    </row>
    <row r="635" spans="7:7" ht="13.2">
      <c r="G635" s="49"/>
    </row>
    <row r="636" spans="7:7" ht="13.2">
      <c r="G636" s="49"/>
    </row>
    <row r="637" spans="7:7" ht="13.2">
      <c r="G637" s="49"/>
    </row>
    <row r="638" spans="7:7" ht="13.2">
      <c r="G638" s="49"/>
    </row>
    <row r="639" spans="7:7" ht="13.2">
      <c r="G639" s="49"/>
    </row>
    <row r="640" spans="7:7" ht="13.2">
      <c r="G640" s="49"/>
    </row>
    <row r="641" spans="7:7" ht="13.2">
      <c r="G641" s="49"/>
    </row>
    <row r="642" spans="7:7" ht="13.2">
      <c r="G642" s="49"/>
    </row>
    <row r="643" spans="7:7" ht="13.2">
      <c r="G643" s="49"/>
    </row>
    <row r="644" spans="7:7" ht="13.2">
      <c r="G644" s="49"/>
    </row>
    <row r="645" spans="7:7" ht="13.2">
      <c r="G645" s="49"/>
    </row>
    <row r="646" spans="7:7" ht="13.2">
      <c r="G646" s="49"/>
    </row>
    <row r="647" spans="7:7" ht="13.2">
      <c r="G647" s="49"/>
    </row>
    <row r="648" spans="7:7" ht="13.2">
      <c r="G648" s="49"/>
    </row>
    <row r="649" spans="7:7" ht="13.2">
      <c r="G649" s="49"/>
    </row>
    <row r="650" spans="7:7" ht="13.2">
      <c r="G650" s="49"/>
    </row>
    <row r="651" spans="7:7" ht="13.2">
      <c r="G651" s="49"/>
    </row>
    <row r="652" spans="7:7" ht="13.2">
      <c r="G652" s="49"/>
    </row>
    <row r="653" spans="7:7" ht="13.2">
      <c r="G653" s="49"/>
    </row>
    <row r="654" spans="7:7" ht="13.2">
      <c r="G654" s="49"/>
    </row>
    <row r="655" spans="7:7" ht="13.2">
      <c r="G655" s="49"/>
    </row>
    <row r="656" spans="7:7" ht="13.2">
      <c r="G656" s="49"/>
    </row>
    <row r="657" spans="7:7" ht="13.2">
      <c r="G657" s="49"/>
    </row>
    <row r="658" spans="7:7" ht="13.2">
      <c r="G658" s="49"/>
    </row>
    <row r="659" spans="7:7" ht="13.2">
      <c r="G659" s="49"/>
    </row>
    <row r="660" spans="7:7" ht="13.2">
      <c r="G660" s="49"/>
    </row>
    <row r="661" spans="7:7" ht="13.2">
      <c r="G661" s="49"/>
    </row>
    <row r="662" spans="7:7" ht="13.2">
      <c r="G662" s="49"/>
    </row>
    <row r="663" spans="7:7" ht="13.2">
      <c r="G663" s="49"/>
    </row>
    <row r="664" spans="7:7" ht="13.2">
      <c r="G664" s="49"/>
    </row>
    <row r="665" spans="7:7" ht="13.2">
      <c r="G665" s="49"/>
    </row>
    <row r="666" spans="7:7" ht="13.2">
      <c r="G666" s="49"/>
    </row>
    <row r="667" spans="7:7" ht="13.2">
      <c r="G667" s="49"/>
    </row>
    <row r="668" spans="7:7" ht="13.2">
      <c r="G668" s="49"/>
    </row>
    <row r="669" spans="7:7" ht="13.2">
      <c r="G669" s="49"/>
    </row>
    <row r="670" spans="7:7" ht="13.2">
      <c r="G670" s="49"/>
    </row>
    <row r="671" spans="7:7" ht="13.2">
      <c r="G671" s="49"/>
    </row>
    <row r="672" spans="7:7" ht="13.2">
      <c r="G672" s="49"/>
    </row>
    <row r="673" spans="7:7" ht="13.2">
      <c r="G673" s="49"/>
    </row>
    <row r="674" spans="7:7" ht="13.2">
      <c r="G674" s="49"/>
    </row>
    <row r="675" spans="7:7" ht="13.2">
      <c r="G675" s="49"/>
    </row>
    <row r="676" spans="7:7" ht="13.2">
      <c r="G676" s="49"/>
    </row>
    <row r="677" spans="7:7" ht="13.2">
      <c r="G677" s="49"/>
    </row>
    <row r="678" spans="7:7" ht="13.2">
      <c r="G678" s="49"/>
    </row>
    <row r="679" spans="7:7" ht="13.2">
      <c r="G679" s="49"/>
    </row>
    <row r="680" spans="7:7" ht="13.2">
      <c r="G680" s="49"/>
    </row>
    <row r="681" spans="7:7" ht="13.2">
      <c r="G681" s="49"/>
    </row>
    <row r="682" spans="7:7" ht="13.2">
      <c r="G682" s="49"/>
    </row>
    <row r="683" spans="7:7" ht="13.2">
      <c r="G683" s="49"/>
    </row>
    <row r="684" spans="7:7" ht="13.2">
      <c r="G684" s="49"/>
    </row>
    <row r="685" spans="7:7" ht="13.2">
      <c r="G685" s="49"/>
    </row>
    <row r="686" spans="7:7" ht="13.2">
      <c r="G686" s="49"/>
    </row>
    <row r="687" spans="7:7" ht="13.2">
      <c r="G687" s="49"/>
    </row>
    <row r="688" spans="7:7" ht="13.2">
      <c r="G688" s="49"/>
    </row>
    <row r="689" spans="7:7" ht="13.2">
      <c r="G689" s="49"/>
    </row>
    <row r="690" spans="7:7" ht="13.2">
      <c r="G690" s="49"/>
    </row>
    <row r="691" spans="7:7" ht="13.2">
      <c r="G691" s="49"/>
    </row>
    <row r="692" spans="7:7" ht="13.2">
      <c r="G692" s="49"/>
    </row>
    <row r="693" spans="7:7" ht="13.2">
      <c r="G693" s="49"/>
    </row>
    <row r="694" spans="7:7" ht="13.2">
      <c r="G694" s="49"/>
    </row>
    <row r="695" spans="7:7" ht="13.2">
      <c r="G695" s="49"/>
    </row>
    <row r="696" spans="7:7" ht="13.2">
      <c r="G696" s="49"/>
    </row>
    <row r="697" spans="7:7" ht="13.2">
      <c r="G697" s="49"/>
    </row>
    <row r="698" spans="7:7" ht="13.2">
      <c r="G698" s="49"/>
    </row>
    <row r="699" spans="7:7" ht="13.2">
      <c r="G699" s="49"/>
    </row>
    <row r="700" spans="7:7" ht="13.2">
      <c r="G700" s="49"/>
    </row>
    <row r="701" spans="7:7" ht="13.2">
      <c r="G701" s="49"/>
    </row>
    <row r="702" spans="7:7" ht="13.2">
      <c r="G702" s="49"/>
    </row>
    <row r="703" spans="7:7" ht="13.2">
      <c r="G703" s="49"/>
    </row>
    <row r="704" spans="7:7" ht="13.2">
      <c r="G704" s="49"/>
    </row>
    <row r="705" spans="7:7" ht="13.2">
      <c r="G705" s="49"/>
    </row>
    <row r="706" spans="7:7" ht="13.2">
      <c r="G706" s="49"/>
    </row>
    <row r="707" spans="7:7" ht="13.2">
      <c r="G707" s="49"/>
    </row>
    <row r="708" spans="7:7" ht="13.2">
      <c r="G708" s="49"/>
    </row>
    <row r="709" spans="7:7" ht="13.2">
      <c r="G709" s="49"/>
    </row>
    <row r="710" spans="7:7" ht="13.2">
      <c r="G710" s="49"/>
    </row>
    <row r="711" spans="7:7" ht="13.2">
      <c r="G711" s="49"/>
    </row>
    <row r="712" spans="7:7" ht="13.2">
      <c r="G712" s="49"/>
    </row>
    <row r="713" spans="7:7" ht="13.2">
      <c r="G713" s="49"/>
    </row>
    <row r="714" spans="7:7" ht="13.2">
      <c r="G714" s="49"/>
    </row>
    <row r="715" spans="7:7" ht="13.2">
      <c r="G715" s="49"/>
    </row>
    <row r="716" spans="7:7" ht="13.2">
      <c r="G716" s="49"/>
    </row>
    <row r="717" spans="7:7" ht="13.2">
      <c r="G717" s="49"/>
    </row>
    <row r="718" spans="7:7" ht="13.2">
      <c r="G718" s="49"/>
    </row>
    <row r="719" spans="7:7" ht="13.2">
      <c r="G719" s="49"/>
    </row>
    <row r="720" spans="7:7" ht="13.2">
      <c r="G720" s="49"/>
    </row>
    <row r="721" spans="7:7" ht="13.2">
      <c r="G721" s="49"/>
    </row>
    <row r="722" spans="7:7" ht="13.2">
      <c r="G722" s="49"/>
    </row>
    <row r="723" spans="7:7" ht="13.2">
      <c r="G723" s="49"/>
    </row>
    <row r="724" spans="7:7" ht="13.2">
      <c r="G724" s="49"/>
    </row>
    <row r="725" spans="7:7" ht="13.2">
      <c r="G725" s="49"/>
    </row>
    <row r="726" spans="7:7" ht="13.2">
      <c r="G726" s="49"/>
    </row>
    <row r="727" spans="7:7" ht="13.2">
      <c r="G727" s="49"/>
    </row>
    <row r="728" spans="7:7" ht="13.2">
      <c r="G728" s="49"/>
    </row>
    <row r="729" spans="7:7" ht="13.2">
      <c r="G729" s="49"/>
    </row>
    <row r="730" spans="7:7" ht="13.2">
      <c r="G730" s="49"/>
    </row>
    <row r="731" spans="7:7" ht="13.2">
      <c r="G731" s="49"/>
    </row>
    <row r="732" spans="7:7" ht="13.2">
      <c r="G732" s="49"/>
    </row>
    <row r="733" spans="7:7" ht="13.2">
      <c r="G733" s="49"/>
    </row>
    <row r="734" spans="7:7" ht="13.2">
      <c r="G734" s="49"/>
    </row>
    <row r="735" spans="7:7" ht="13.2">
      <c r="G735" s="49"/>
    </row>
    <row r="736" spans="7:7" ht="13.2">
      <c r="G736" s="49"/>
    </row>
    <row r="737" spans="7:7" ht="13.2">
      <c r="G737" s="49"/>
    </row>
    <row r="738" spans="7:7" ht="13.2">
      <c r="G738" s="49"/>
    </row>
    <row r="739" spans="7:7" ht="13.2">
      <c r="G739" s="49"/>
    </row>
    <row r="740" spans="7:7" ht="13.2">
      <c r="G740" s="49"/>
    </row>
    <row r="741" spans="7:7" ht="13.2">
      <c r="G741" s="49"/>
    </row>
    <row r="742" spans="7:7" ht="13.2">
      <c r="G742" s="49"/>
    </row>
    <row r="743" spans="7:7" ht="13.2">
      <c r="G743" s="49"/>
    </row>
    <row r="744" spans="7:7" ht="13.2">
      <c r="G744" s="49"/>
    </row>
    <row r="745" spans="7:7" ht="13.2">
      <c r="G745" s="49"/>
    </row>
    <row r="746" spans="7:7" ht="13.2">
      <c r="G746" s="49"/>
    </row>
    <row r="747" spans="7:7" ht="13.2">
      <c r="G747" s="49"/>
    </row>
    <row r="748" spans="7:7" ht="13.2">
      <c r="G748" s="49"/>
    </row>
    <row r="749" spans="7:7" ht="13.2">
      <c r="G749" s="49"/>
    </row>
    <row r="750" spans="7:7" ht="13.2">
      <c r="G750" s="49"/>
    </row>
    <row r="751" spans="7:7" ht="13.2">
      <c r="G751" s="49"/>
    </row>
    <row r="752" spans="7:7" ht="13.2">
      <c r="G752" s="49"/>
    </row>
    <row r="753" spans="7:7" ht="13.2">
      <c r="G753" s="49"/>
    </row>
    <row r="754" spans="7:7" ht="13.2">
      <c r="G754" s="49"/>
    </row>
    <row r="755" spans="7:7" ht="13.2">
      <c r="G755" s="49"/>
    </row>
    <row r="756" spans="7:7" ht="13.2">
      <c r="G756" s="49"/>
    </row>
    <row r="757" spans="7:7" ht="13.2">
      <c r="G757" s="49"/>
    </row>
    <row r="758" spans="7:7" ht="13.2">
      <c r="G758" s="49"/>
    </row>
    <row r="759" spans="7:7" ht="13.2">
      <c r="G759" s="49"/>
    </row>
    <row r="760" spans="7:7" ht="13.2">
      <c r="G760" s="49"/>
    </row>
    <row r="761" spans="7:7" ht="13.2">
      <c r="G761" s="49"/>
    </row>
    <row r="762" spans="7:7" ht="13.2">
      <c r="G762" s="49"/>
    </row>
    <row r="763" spans="7:7" ht="13.2">
      <c r="G763" s="49"/>
    </row>
    <row r="764" spans="7:7" ht="13.2">
      <c r="G764" s="49"/>
    </row>
    <row r="765" spans="7:7" ht="13.2">
      <c r="G765" s="49"/>
    </row>
    <row r="766" spans="7:7" ht="13.2">
      <c r="G766" s="49"/>
    </row>
    <row r="767" spans="7:7" ht="13.2">
      <c r="G767" s="49"/>
    </row>
    <row r="768" spans="7:7" ht="13.2">
      <c r="G768" s="49"/>
    </row>
    <row r="769" spans="7:7" ht="13.2">
      <c r="G769" s="49"/>
    </row>
    <row r="770" spans="7:7" ht="13.2">
      <c r="G770" s="49"/>
    </row>
    <row r="771" spans="7:7" ht="13.2">
      <c r="G771" s="49"/>
    </row>
    <row r="772" spans="7:7" ht="13.2">
      <c r="G772" s="49"/>
    </row>
    <row r="773" spans="7:7" ht="13.2">
      <c r="G773" s="49"/>
    </row>
    <row r="774" spans="7:7" ht="13.2">
      <c r="G774" s="49"/>
    </row>
    <row r="775" spans="7:7" ht="13.2">
      <c r="G775" s="49"/>
    </row>
    <row r="776" spans="7:7" ht="13.2">
      <c r="G776" s="49"/>
    </row>
    <row r="777" spans="7:7" ht="13.2">
      <c r="G777" s="49"/>
    </row>
    <row r="778" spans="7:7" ht="13.2">
      <c r="G778" s="49"/>
    </row>
    <row r="779" spans="7:7" ht="13.2">
      <c r="G779" s="49"/>
    </row>
    <row r="780" spans="7:7" ht="13.2">
      <c r="G780" s="49"/>
    </row>
    <row r="781" spans="7:7" ht="13.2">
      <c r="G781" s="49"/>
    </row>
    <row r="782" spans="7:7" ht="13.2">
      <c r="G782" s="49"/>
    </row>
    <row r="783" spans="7:7" ht="13.2">
      <c r="G783" s="49"/>
    </row>
    <row r="784" spans="7:7" ht="13.2">
      <c r="G784" s="49"/>
    </row>
    <row r="785" spans="7:7" ht="13.2">
      <c r="G785" s="49"/>
    </row>
    <row r="786" spans="7:7" ht="13.2">
      <c r="G786" s="49"/>
    </row>
    <row r="787" spans="7:7" ht="13.2">
      <c r="G787" s="49"/>
    </row>
    <row r="788" spans="7:7" ht="13.2">
      <c r="G788" s="49"/>
    </row>
    <row r="789" spans="7:7" ht="13.2">
      <c r="G789" s="49"/>
    </row>
    <row r="790" spans="7:7" ht="13.2">
      <c r="G790" s="49"/>
    </row>
    <row r="791" spans="7:7" ht="13.2">
      <c r="G791" s="49"/>
    </row>
    <row r="792" spans="7:7" ht="13.2">
      <c r="G792" s="49"/>
    </row>
    <row r="793" spans="7:7" ht="13.2">
      <c r="G793" s="49"/>
    </row>
    <row r="794" spans="7:7" ht="13.2">
      <c r="G794" s="49"/>
    </row>
    <row r="795" spans="7:7" ht="13.2">
      <c r="G795" s="49"/>
    </row>
    <row r="796" spans="7:7" ht="13.2">
      <c r="G796" s="49"/>
    </row>
    <row r="797" spans="7:7" ht="13.2">
      <c r="G797" s="49"/>
    </row>
    <row r="798" spans="7:7" ht="13.2">
      <c r="G798" s="49"/>
    </row>
    <row r="799" spans="7:7" ht="13.2">
      <c r="G799" s="49"/>
    </row>
    <row r="800" spans="7:7" ht="13.2">
      <c r="G800" s="49"/>
    </row>
    <row r="801" spans="7:7" ht="13.2">
      <c r="G801" s="49"/>
    </row>
    <row r="802" spans="7:7" ht="13.2">
      <c r="G802" s="49"/>
    </row>
    <row r="803" spans="7:7" ht="13.2">
      <c r="G803" s="49"/>
    </row>
    <row r="804" spans="7:7" ht="13.2">
      <c r="G804" s="49"/>
    </row>
    <row r="805" spans="7:7" ht="13.2">
      <c r="G805" s="49"/>
    </row>
    <row r="806" spans="7:7" ht="13.2">
      <c r="G806" s="49"/>
    </row>
    <row r="807" spans="7:7" ht="13.2">
      <c r="G807" s="49"/>
    </row>
    <row r="808" spans="7:7" ht="13.2">
      <c r="G808" s="49"/>
    </row>
    <row r="809" spans="7:7" ht="13.2">
      <c r="G809" s="49"/>
    </row>
    <row r="810" spans="7:7" ht="13.2">
      <c r="G810" s="49"/>
    </row>
    <row r="811" spans="7:7" ht="13.2">
      <c r="G811" s="49"/>
    </row>
    <row r="812" spans="7:7" ht="13.2">
      <c r="G812" s="49"/>
    </row>
    <row r="813" spans="7:7" ht="13.2">
      <c r="G813" s="49"/>
    </row>
    <row r="814" spans="7:7" ht="13.2">
      <c r="G814" s="49"/>
    </row>
    <row r="815" spans="7:7" ht="13.2">
      <c r="G815" s="49"/>
    </row>
    <row r="816" spans="7:7" ht="13.2">
      <c r="G816" s="49"/>
    </row>
    <row r="817" spans="7:7" ht="13.2">
      <c r="G817" s="49"/>
    </row>
    <row r="818" spans="7:7" ht="13.2">
      <c r="G818" s="49"/>
    </row>
    <row r="819" spans="7:7" ht="13.2">
      <c r="G819" s="49"/>
    </row>
    <row r="820" spans="7:7" ht="13.2">
      <c r="G820" s="49"/>
    </row>
    <row r="821" spans="7:7" ht="13.2">
      <c r="G821" s="49"/>
    </row>
    <row r="822" spans="7:7" ht="13.2">
      <c r="G822" s="49"/>
    </row>
    <row r="823" spans="7:7" ht="13.2">
      <c r="G823" s="49"/>
    </row>
    <row r="824" spans="7:7" ht="13.2">
      <c r="G824" s="49"/>
    </row>
    <row r="825" spans="7:7" ht="13.2">
      <c r="G825" s="49"/>
    </row>
    <row r="826" spans="7:7" ht="13.2">
      <c r="G826" s="49"/>
    </row>
    <row r="827" spans="7:7" ht="13.2">
      <c r="G827" s="49"/>
    </row>
    <row r="828" spans="7:7" ht="13.2">
      <c r="G828" s="49"/>
    </row>
    <row r="829" spans="7:7" ht="13.2">
      <c r="G829" s="49"/>
    </row>
    <row r="830" spans="7:7" ht="13.2">
      <c r="G830" s="49"/>
    </row>
    <row r="831" spans="7:7" ht="13.2">
      <c r="G831" s="49"/>
    </row>
    <row r="832" spans="7:7" ht="13.2">
      <c r="G832" s="49"/>
    </row>
    <row r="833" spans="7:7" ht="13.2">
      <c r="G833" s="49"/>
    </row>
    <row r="834" spans="7:7" ht="13.2">
      <c r="G834" s="49"/>
    </row>
    <row r="835" spans="7:7" ht="13.2">
      <c r="G835" s="49"/>
    </row>
    <row r="836" spans="7:7" ht="13.2">
      <c r="G836" s="49"/>
    </row>
    <row r="837" spans="7:7" ht="13.2">
      <c r="G837" s="49"/>
    </row>
    <row r="838" spans="7:7" ht="13.2">
      <c r="G838" s="49"/>
    </row>
    <row r="839" spans="7:7" ht="13.2">
      <c r="G839" s="49"/>
    </row>
    <row r="840" spans="7:7" ht="13.2">
      <c r="G840" s="49"/>
    </row>
    <row r="841" spans="7:7" ht="13.2">
      <c r="G841" s="49"/>
    </row>
    <row r="842" spans="7:7" ht="13.2">
      <c r="G842" s="49"/>
    </row>
    <row r="843" spans="7:7" ht="13.2">
      <c r="G843" s="49"/>
    </row>
    <row r="844" spans="7:7" ht="13.2">
      <c r="G844" s="49"/>
    </row>
    <row r="845" spans="7:7" ht="13.2">
      <c r="G845" s="49"/>
    </row>
    <row r="846" spans="7:7" ht="13.2">
      <c r="G846" s="49"/>
    </row>
    <row r="847" spans="7:7" ht="13.2">
      <c r="G847" s="49"/>
    </row>
    <row r="848" spans="7:7" ht="13.2">
      <c r="G848" s="49"/>
    </row>
    <row r="849" spans="7:7" ht="13.2">
      <c r="G849" s="49"/>
    </row>
    <row r="850" spans="7:7" ht="13.2">
      <c r="G850" s="49"/>
    </row>
    <row r="851" spans="7:7" ht="13.2">
      <c r="G851" s="49"/>
    </row>
    <row r="852" spans="7:7" ht="13.2">
      <c r="G852" s="49"/>
    </row>
    <row r="853" spans="7:7" ht="13.2">
      <c r="G853" s="49"/>
    </row>
    <row r="854" spans="7:7" ht="13.2">
      <c r="G854" s="49"/>
    </row>
    <row r="855" spans="7:7" ht="13.2">
      <c r="G855" s="49"/>
    </row>
    <row r="856" spans="7:7" ht="13.2">
      <c r="G856" s="49"/>
    </row>
    <row r="857" spans="7:7" ht="13.2">
      <c r="G857" s="49"/>
    </row>
    <row r="858" spans="7:7" ht="13.2">
      <c r="G858" s="49"/>
    </row>
    <row r="859" spans="7:7" ht="13.2">
      <c r="G859" s="49"/>
    </row>
    <row r="860" spans="7:7" ht="13.2">
      <c r="G860" s="49"/>
    </row>
    <row r="861" spans="7:7" ht="13.2">
      <c r="G861" s="49"/>
    </row>
    <row r="862" spans="7:7" ht="13.2">
      <c r="G862" s="49"/>
    </row>
    <row r="863" spans="7:7" ht="13.2">
      <c r="G863" s="49"/>
    </row>
    <row r="864" spans="7:7" ht="13.2">
      <c r="G864" s="49"/>
    </row>
    <row r="865" spans="7:7" ht="13.2">
      <c r="G865" s="49"/>
    </row>
    <row r="866" spans="7:7" ht="13.2">
      <c r="G866" s="49"/>
    </row>
    <row r="867" spans="7:7" ht="13.2">
      <c r="G867" s="49"/>
    </row>
    <row r="868" spans="7:7" ht="13.2">
      <c r="G868" s="49"/>
    </row>
    <row r="869" spans="7:7" ht="13.2">
      <c r="G869" s="49"/>
    </row>
    <row r="870" spans="7:7" ht="13.2">
      <c r="G870" s="49"/>
    </row>
    <row r="871" spans="7:7" ht="13.2">
      <c r="G871" s="49"/>
    </row>
    <row r="872" spans="7:7" ht="13.2">
      <c r="G872" s="49"/>
    </row>
    <row r="873" spans="7:7" ht="13.2">
      <c r="G873" s="49"/>
    </row>
    <row r="874" spans="7:7" ht="13.2">
      <c r="G874" s="49"/>
    </row>
    <row r="875" spans="7:7" ht="13.2">
      <c r="G875" s="49"/>
    </row>
    <row r="876" spans="7:7" ht="13.2">
      <c r="G876" s="49"/>
    </row>
    <row r="877" spans="7:7" ht="13.2">
      <c r="G877" s="49"/>
    </row>
    <row r="878" spans="7:7" ht="13.2">
      <c r="G878" s="49"/>
    </row>
    <row r="879" spans="7:7" ht="13.2">
      <c r="G879" s="49"/>
    </row>
    <row r="880" spans="7:7" ht="13.2">
      <c r="G880" s="49"/>
    </row>
    <row r="881" spans="7:7" ht="13.2">
      <c r="G881" s="49"/>
    </row>
    <row r="882" spans="7:7" ht="13.2">
      <c r="G882" s="49"/>
    </row>
    <row r="883" spans="7:7" ht="13.2">
      <c r="G883" s="49"/>
    </row>
    <row r="884" spans="7:7" ht="13.2">
      <c r="G884" s="49"/>
    </row>
    <row r="885" spans="7:7" ht="13.2">
      <c r="G885" s="49"/>
    </row>
    <row r="886" spans="7:7" ht="13.2">
      <c r="G886" s="49"/>
    </row>
    <row r="887" spans="7:7" ht="13.2">
      <c r="G887" s="49"/>
    </row>
    <row r="888" spans="7:7" ht="13.2">
      <c r="G888" s="49"/>
    </row>
    <row r="889" spans="7:7" ht="13.2">
      <c r="G889" s="49"/>
    </row>
    <row r="890" spans="7:7" ht="13.2">
      <c r="G890" s="49"/>
    </row>
    <row r="891" spans="7:7" ht="13.2">
      <c r="G891" s="49"/>
    </row>
    <row r="892" spans="7:7" ht="13.2">
      <c r="G892" s="49"/>
    </row>
    <row r="893" spans="7:7" ht="13.2">
      <c r="G893" s="49"/>
    </row>
    <row r="894" spans="7:7" ht="13.2">
      <c r="G894" s="49"/>
    </row>
    <row r="895" spans="7:7" ht="13.2">
      <c r="G895" s="49"/>
    </row>
    <row r="896" spans="7:7" ht="13.2">
      <c r="G896" s="49"/>
    </row>
    <row r="897" spans="7:7" ht="13.2">
      <c r="G897" s="49"/>
    </row>
    <row r="898" spans="7:7" ht="13.2">
      <c r="G898" s="49"/>
    </row>
    <row r="899" spans="7:7" ht="13.2">
      <c r="G899" s="49"/>
    </row>
    <row r="900" spans="7:7" ht="13.2">
      <c r="G900" s="49"/>
    </row>
    <row r="901" spans="7:7" ht="13.2">
      <c r="G901" s="49"/>
    </row>
    <row r="902" spans="7:7" ht="13.2">
      <c r="G902" s="49"/>
    </row>
    <row r="903" spans="7:7" ht="13.2">
      <c r="G903" s="49"/>
    </row>
    <row r="904" spans="7:7" ht="13.2">
      <c r="G904" s="49"/>
    </row>
    <row r="905" spans="7:7" ht="13.2">
      <c r="G905" s="49"/>
    </row>
    <row r="906" spans="7:7" ht="13.2">
      <c r="G906" s="49"/>
    </row>
    <row r="907" spans="7:7" ht="13.2">
      <c r="G907" s="49"/>
    </row>
    <row r="908" spans="7:7" ht="13.2">
      <c r="G908" s="49"/>
    </row>
    <row r="909" spans="7:7" ht="13.2">
      <c r="G909" s="49"/>
    </row>
    <row r="910" spans="7:7" ht="13.2">
      <c r="G910" s="49"/>
    </row>
    <row r="911" spans="7:7" ht="13.2">
      <c r="G911" s="49"/>
    </row>
    <row r="912" spans="7:7" ht="13.2">
      <c r="G912" s="49"/>
    </row>
    <row r="913" spans="7:7" ht="13.2">
      <c r="G913" s="49"/>
    </row>
    <row r="914" spans="7:7" ht="13.2">
      <c r="G914" s="49"/>
    </row>
    <row r="915" spans="7:7" ht="13.2">
      <c r="G915" s="49"/>
    </row>
    <row r="916" spans="7:7" ht="13.2">
      <c r="G916" s="49"/>
    </row>
    <row r="917" spans="7:7" ht="13.2">
      <c r="G917" s="49"/>
    </row>
    <row r="918" spans="7:7" ht="13.2">
      <c r="G918" s="49"/>
    </row>
    <row r="919" spans="7:7" ht="13.2">
      <c r="G919" s="49"/>
    </row>
    <row r="920" spans="7:7" ht="13.2">
      <c r="G920" s="49"/>
    </row>
    <row r="921" spans="7:7" ht="13.2">
      <c r="G921" s="49"/>
    </row>
    <row r="922" spans="7:7" ht="13.2">
      <c r="G922" s="49"/>
    </row>
    <row r="923" spans="7:7" ht="13.2">
      <c r="G923" s="49"/>
    </row>
    <row r="924" spans="7:7" ht="13.2">
      <c r="G924" s="49"/>
    </row>
    <row r="925" spans="7:7" ht="13.2">
      <c r="G925" s="49"/>
    </row>
    <row r="926" spans="7:7" ht="13.2">
      <c r="G926" s="49"/>
    </row>
    <row r="927" spans="7:7" ht="13.2">
      <c r="G927" s="49"/>
    </row>
    <row r="928" spans="7:7" ht="13.2">
      <c r="G928" s="49"/>
    </row>
    <row r="929" spans="7:7" ht="13.2">
      <c r="G929" s="49"/>
    </row>
    <row r="930" spans="7:7" ht="13.2">
      <c r="G930" s="49"/>
    </row>
    <row r="931" spans="7:7" ht="13.2">
      <c r="G931" s="49"/>
    </row>
    <row r="932" spans="7:7" ht="13.2">
      <c r="G932" s="49"/>
    </row>
    <row r="933" spans="7:7" ht="13.2">
      <c r="G933" s="49"/>
    </row>
    <row r="934" spans="7:7" ht="13.2">
      <c r="G934" s="49"/>
    </row>
    <row r="935" spans="7:7" ht="13.2">
      <c r="G935" s="49"/>
    </row>
    <row r="936" spans="7:7" ht="13.2">
      <c r="G936" s="49"/>
    </row>
    <row r="937" spans="7:7" ht="13.2">
      <c r="G937" s="49"/>
    </row>
    <row r="938" spans="7:7" ht="13.2">
      <c r="G938" s="49"/>
    </row>
    <row r="939" spans="7:7" ht="13.2">
      <c r="G939" s="49"/>
    </row>
    <row r="940" spans="7:7" ht="13.2">
      <c r="G940" s="49"/>
    </row>
    <row r="941" spans="7:7" ht="13.2">
      <c r="G941" s="49"/>
    </row>
    <row r="942" spans="7:7" ht="13.2">
      <c r="G942" s="49"/>
    </row>
    <row r="943" spans="7:7" ht="13.2">
      <c r="G943" s="49"/>
    </row>
    <row r="944" spans="7:7" ht="13.2">
      <c r="G944" s="49"/>
    </row>
    <row r="945" spans="7:7" ht="13.2">
      <c r="G945" s="49"/>
    </row>
    <row r="946" spans="7:7" ht="13.2">
      <c r="G946" s="49"/>
    </row>
    <row r="947" spans="7:7" ht="13.2">
      <c r="G947" s="49"/>
    </row>
    <row r="948" spans="7:7" ht="13.2">
      <c r="G948" s="49"/>
    </row>
    <row r="949" spans="7:7" ht="13.2">
      <c r="G949" s="49"/>
    </row>
    <row r="950" spans="7:7" ht="13.2">
      <c r="G950" s="49"/>
    </row>
    <row r="951" spans="7:7" ht="13.2">
      <c r="G951" s="49"/>
    </row>
    <row r="952" spans="7:7" ht="13.2">
      <c r="G952" s="49"/>
    </row>
    <row r="953" spans="7:7" ht="13.2">
      <c r="G953" s="49"/>
    </row>
    <row r="954" spans="7:7" ht="13.2">
      <c r="G954" s="49"/>
    </row>
    <row r="955" spans="7:7" ht="13.2">
      <c r="G955" s="49"/>
    </row>
    <row r="956" spans="7:7" ht="13.2">
      <c r="G956" s="49"/>
    </row>
    <row r="957" spans="7:7" ht="13.2">
      <c r="G957" s="49"/>
    </row>
    <row r="958" spans="7:7" ht="13.2">
      <c r="G958" s="49"/>
    </row>
    <row r="959" spans="7:7" ht="13.2">
      <c r="G959" s="49"/>
    </row>
    <row r="960" spans="7:7" ht="13.2">
      <c r="G960" s="49"/>
    </row>
    <row r="961" spans="7:7" ht="13.2">
      <c r="G961" s="49"/>
    </row>
    <row r="962" spans="7:7" ht="13.2">
      <c r="G962" s="49"/>
    </row>
    <row r="963" spans="7:7" ht="13.2">
      <c r="G963" s="49"/>
    </row>
    <row r="964" spans="7:7" ht="13.2">
      <c r="G964" s="49"/>
    </row>
    <row r="965" spans="7:7" ht="13.2">
      <c r="G965" s="49"/>
    </row>
    <row r="966" spans="7:7" ht="13.2">
      <c r="G966" s="49"/>
    </row>
    <row r="967" spans="7:7" ht="13.2">
      <c r="G967" s="49"/>
    </row>
    <row r="968" spans="7:7" ht="13.2">
      <c r="G968" s="49"/>
    </row>
    <row r="969" spans="7:7" ht="13.2">
      <c r="G969" s="49"/>
    </row>
    <row r="970" spans="7:7" ht="13.2">
      <c r="G970" s="49"/>
    </row>
    <row r="971" spans="7:7" ht="13.2">
      <c r="G971" s="49"/>
    </row>
    <row r="972" spans="7:7" ht="13.2">
      <c r="G972" s="49"/>
    </row>
    <row r="973" spans="7:7" ht="13.2">
      <c r="G973" s="49"/>
    </row>
    <row r="974" spans="7:7" ht="13.2">
      <c r="G974" s="49"/>
    </row>
    <row r="975" spans="7:7" ht="13.2">
      <c r="G975" s="49"/>
    </row>
    <row r="976" spans="7:7" ht="13.2">
      <c r="G976" s="49"/>
    </row>
    <row r="977" spans="7:7" ht="13.2">
      <c r="G977" s="49"/>
    </row>
    <row r="978" spans="7:7" ht="13.2">
      <c r="G978" s="49"/>
    </row>
    <row r="979" spans="7:7" ht="13.2">
      <c r="G979" s="49"/>
    </row>
    <row r="980" spans="7:7" ht="13.2">
      <c r="G980" s="49"/>
    </row>
    <row r="981" spans="7:7" ht="13.2">
      <c r="G981" s="49"/>
    </row>
    <row r="982" spans="7:7" ht="13.2">
      <c r="G982" s="49"/>
    </row>
    <row r="983" spans="7:7" ht="13.2">
      <c r="G983" s="49"/>
    </row>
    <row r="984" spans="7:7" ht="13.2">
      <c r="G984" s="49"/>
    </row>
    <row r="985" spans="7:7" ht="13.2">
      <c r="G985" s="49"/>
    </row>
    <row r="986" spans="7:7" ht="13.2">
      <c r="G986" s="49"/>
    </row>
    <row r="987" spans="7:7" ht="13.2">
      <c r="G987" s="49"/>
    </row>
    <row r="988" spans="7:7" ht="13.2">
      <c r="G988" s="49"/>
    </row>
    <row r="989" spans="7:7" ht="13.2">
      <c r="G989" s="49"/>
    </row>
    <row r="990" spans="7:7" ht="13.2">
      <c r="G990" s="49"/>
    </row>
    <row r="991" spans="7:7" ht="13.2">
      <c r="G991" s="49"/>
    </row>
    <row r="992" spans="7:7" ht="13.2">
      <c r="G992" s="49"/>
    </row>
    <row r="993" spans="7:7" ht="13.2">
      <c r="G993" s="49"/>
    </row>
    <row r="994" spans="7:7" ht="13.2">
      <c r="G994" s="49"/>
    </row>
    <row r="995" spans="7:7" ht="13.2">
      <c r="G995" s="49"/>
    </row>
    <row r="996" spans="7:7" ht="13.2">
      <c r="G996" s="49"/>
    </row>
    <row r="997" spans="7:7" ht="13.2">
      <c r="G997" s="49"/>
    </row>
    <row r="998" spans="7:7" ht="13.2">
      <c r="G998" s="49"/>
    </row>
    <row r="999" spans="7:7" ht="13.2">
      <c r="G999" s="49"/>
    </row>
    <row r="1000" spans="7:7" ht="13.2">
      <c r="G1000" s="49"/>
    </row>
  </sheetData>
  <mergeCells count="5">
    <mergeCell ref="A2:H2"/>
    <mergeCell ref="A3:A5"/>
    <mergeCell ref="B3:B5"/>
    <mergeCell ref="C3:C5"/>
    <mergeCell ref="D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001"/>
  <sheetViews>
    <sheetView tabSelected="1" workbookViewId="0">
      <selection sqref="A1:H1"/>
    </sheetView>
  </sheetViews>
  <sheetFormatPr defaultColWidth="12.6640625" defaultRowHeight="15.75" customHeight="1"/>
  <sheetData>
    <row r="1" spans="1:8" ht="15.75" customHeight="1">
      <c r="A1" s="93" t="s">
        <v>91</v>
      </c>
      <c r="B1" s="87"/>
      <c r="C1" s="87"/>
      <c r="D1" s="87"/>
      <c r="E1" s="87"/>
      <c r="F1" s="87"/>
      <c r="G1" s="87"/>
      <c r="H1" s="87"/>
    </row>
    <row r="2" spans="1:8" ht="15.75" customHeight="1">
      <c r="A2" s="94" t="s">
        <v>94</v>
      </c>
      <c r="B2" s="97" t="s">
        <v>95</v>
      </c>
      <c r="C2" s="98" t="s">
        <v>96</v>
      </c>
      <c r="D2" s="102" t="s">
        <v>98</v>
      </c>
      <c r="E2" s="100"/>
      <c r="F2" s="100"/>
      <c r="G2" s="100"/>
      <c r="H2" s="101"/>
    </row>
    <row r="3" spans="1:8" ht="15.75" customHeight="1">
      <c r="A3" s="95"/>
      <c r="B3" s="95"/>
      <c r="C3" s="95"/>
      <c r="D3" s="41">
        <v>45778</v>
      </c>
      <c r="E3" s="42" t="s">
        <v>103</v>
      </c>
      <c r="F3" s="42" t="s">
        <v>100</v>
      </c>
      <c r="G3" s="43" t="s">
        <v>101</v>
      </c>
      <c r="H3" s="43" t="s">
        <v>102</v>
      </c>
    </row>
    <row r="4" spans="1:8" ht="15.75" customHeight="1">
      <c r="A4" s="96"/>
      <c r="B4" s="96"/>
      <c r="C4" s="96"/>
      <c r="D4" s="42" t="s">
        <v>104</v>
      </c>
      <c r="E4" s="42" t="s">
        <v>104</v>
      </c>
      <c r="F4" s="42" t="s">
        <v>105</v>
      </c>
      <c r="G4" s="43" t="s">
        <v>106</v>
      </c>
      <c r="H4" s="43" t="s">
        <v>108</v>
      </c>
    </row>
    <row r="5" spans="1:8" ht="15.75" customHeight="1">
      <c r="A5" s="44">
        <v>1</v>
      </c>
      <c r="B5" s="11" t="s">
        <v>9</v>
      </c>
      <c r="C5" s="45" t="s">
        <v>10</v>
      </c>
      <c r="G5" s="49"/>
      <c r="H5" s="49"/>
    </row>
    <row r="6" spans="1:8" ht="15.75" customHeight="1">
      <c r="A6" s="44">
        <v>2</v>
      </c>
      <c r="B6" s="11" t="s">
        <v>9</v>
      </c>
      <c r="C6" s="45" t="s">
        <v>11</v>
      </c>
      <c r="G6" s="49"/>
      <c r="H6" s="49"/>
    </row>
    <row r="7" spans="1:8" ht="15.75" customHeight="1">
      <c r="A7" s="44">
        <v>3</v>
      </c>
      <c r="B7" s="11" t="s">
        <v>9</v>
      </c>
      <c r="C7" s="45" t="s">
        <v>17</v>
      </c>
      <c r="G7" s="49"/>
      <c r="H7" s="49"/>
    </row>
    <row r="8" spans="1:8" ht="15.75" customHeight="1">
      <c r="A8" s="44">
        <v>4</v>
      </c>
      <c r="B8" s="11" t="s">
        <v>9</v>
      </c>
      <c r="C8" s="50" t="s">
        <v>12</v>
      </c>
      <c r="G8" s="49"/>
      <c r="H8" s="49"/>
    </row>
    <row r="9" spans="1:8" ht="15.75" customHeight="1">
      <c r="A9" s="44">
        <v>5</v>
      </c>
      <c r="B9" s="11" t="s">
        <v>9</v>
      </c>
      <c r="C9" s="50" t="s">
        <v>13</v>
      </c>
      <c r="G9" s="49"/>
      <c r="H9" s="49"/>
    </row>
    <row r="10" spans="1:8" ht="15.75" customHeight="1">
      <c r="A10" s="44">
        <v>6</v>
      </c>
      <c r="B10" s="11" t="s">
        <v>9</v>
      </c>
      <c r="C10" s="50" t="s">
        <v>14</v>
      </c>
      <c r="G10" s="49"/>
      <c r="H10" s="49"/>
    </row>
    <row r="11" spans="1:8" ht="15.75" customHeight="1">
      <c r="A11" s="44">
        <v>7</v>
      </c>
      <c r="B11" s="11" t="s">
        <v>9</v>
      </c>
      <c r="C11" s="50" t="s">
        <v>15</v>
      </c>
      <c r="G11" s="49"/>
      <c r="H11" s="49"/>
    </row>
    <row r="12" spans="1:8" ht="15.75" customHeight="1">
      <c r="A12" s="44">
        <v>8</v>
      </c>
      <c r="B12" s="11" t="s">
        <v>9</v>
      </c>
      <c r="C12" s="50" t="s">
        <v>16</v>
      </c>
      <c r="G12" s="49"/>
      <c r="H12" s="49"/>
    </row>
    <row r="13" spans="1:8" ht="15.75" customHeight="1">
      <c r="A13" s="44">
        <v>9</v>
      </c>
      <c r="B13" s="11" t="s">
        <v>9</v>
      </c>
      <c r="C13" s="50" t="s">
        <v>109</v>
      </c>
      <c r="G13" s="49"/>
      <c r="H13" s="49"/>
    </row>
    <row r="14" spans="1:8" ht="15.75" customHeight="1">
      <c r="A14" s="52"/>
      <c r="B14" s="11" t="s">
        <v>9</v>
      </c>
      <c r="C14" s="53" t="s">
        <v>120</v>
      </c>
      <c r="D14" s="56">
        <v>98</v>
      </c>
      <c r="E14" s="56">
        <v>352</v>
      </c>
      <c r="F14" s="56">
        <f>E14-D14</f>
        <v>254</v>
      </c>
      <c r="G14" s="57">
        <f>F14/D14%</f>
        <v>259.18367346938777</v>
      </c>
      <c r="H14" s="57">
        <f>MIN(5,MAX(0,G14*5/100))</f>
        <v>5</v>
      </c>
    </row>
    <row r="15" spans="1:8" ht="15.75" customHeight="1">
      <c r="A15" s="44">
        <v>10</v>
      </c>
      <c r="B15" s="11" t="s">
        <v>19</v>
      </c>
      <c r="C15" s="45" t="s">
        <v>21</v>
      </c>
      <c r="F15" s="56"/>
      <c r="G15" s="57"/>
      <c r="H15" s="57"/>
    </row>
    <row r="16" spans="1:8" ht="15.75" customHeight="1">
      <c r="A16" s="44">
        <v>11</v>
      </c>
      <c r="B16" s="11" t="s">
        <v>19</v>
      </c>
      <c r="C16" s="45" t="s">
        <v>26</v>
      </c>
      <c r="F16" s="56"/>
      <c r="G16" s="57"/>
      <c r="H16" s="57"/>
    </row>
    <row r="17" spans="1:8" ht="15.75" customHeight="1">
      <c r="A17" s="44">
        <v>12</v>
      </c>
      <c r="B17" s="11" t="s">
        <v>19</v>
      </c>
      <c r="C17" s="45" t="s">
        <v>27</v>
      </c>
      <c r="F17" s="56"/>
      <c r="G17" s="57"/>
      <c r="H17" s="57"/>
    </row>
    <row r="18" spans="1:8" ht="15.75" customHeight="1">
      <c r="A18" s="44">
        <v>13</v>
      </c>
      <c r="B18" s="11" t="s">
        <v>19</v>
      </c>
      <c r="C18" s="45" t="s">
        <v>29</v>
      </c>
      <c r="F18" s="56"/>
      <c r="G18" s="57"/>
      <c r="H18" s="57"/>
    </row>
    <row r="19" spans="1:8" ht="15.75" customHeight="1">
      <c r="A19" s="44">
        <v>14</v>
      </c>
      <c r="B19" s="11" t="s">
        <v>19</v>
      </c>
      <c r="C19" s="50" t="s">
        <v>20</v>
      </c>
      <c r="F19" s="56"/>
      <c r="G19" s="57"/>
      <c r="H19" s="57"/>
    </row>
    <row r="20" spans="1:8" ht="15.75" customHeight="1">
      <c r="A20" s="44">
        <v>15</v>
      </c>
      <c r="B20" s="11" t="s">
        <v>19</v>
      </c>
      <c r="C20" s="50" t="s">
        <v>22</v>
      </c>
      <c r="F20" s="56"/>
      <c r="G20" s="57"/>
      <c r="H20" s="57"/>
    </row>
    <row r="21" spans="1:8" ht="15.75" customHeight="1">
      <c r="A21" s="44">
        <v>16</v>
      </c>
      <c r="B21" s="11" t="s">
        <v>19</v>
      </c>
      <c r="C21" s="50" t="s">
        <v>23</v>
      </c>
      <c r="F21" s="56"/>
      <c r="G21" s="57"/>
      <c r="H21" s="57"/>
    </row>
    <row r="22" spans="1:8" ht="15.75" customHeight="1">
      <c r="A22" s="44">
        <v>17</v>
      </c>
      <c r="B22" s="11" t="s">
        <v>19</v>
      </c>
      <c r="C22" s="50" t="s">
        <v>24</v>
      </c>
      <c r="F22" s="56"/>
      <c r="G22" s="57"/>
      <c r="H22" s="57"/>
    </row>
    <row r="23" spans="1:8" ht="15.75" customHeight="1">
      <c r="A23" s="44">
        <v>18</v>
      </c>
      <c r="B23" s="11" t="s">
        <v>19</v>
      </c>
      <c r="C23" s="50" t="s">
        <v>25</v>
      </c>
      <c r="F23" s="56"/>
      <c r="G23" s="57"/>
      <c r="H23" s="57"/>
    </row>
    <row r="24" spans="1:8" ht="15.75" customHeight="1">
      <c r="A24" s="44">
        <v>19</v>
      </c>
      <c r="B24" s="11" t="s">
        <v>19</v>
      </c>
      <c r="C24" s="50" t="s">
        <v>28</v>
      </c>
      <c r="F24" s="56"/>
      <c r="G24" s="57"/>
      <c r="H24" s="57"/>
    </row>
    <row r="25" spans="1:8" ht="28.8">
      <c r="A25" s="44">
        <v>20</v>
      </c>
      <c r="B25" s="11" t="s">
        <v>19</v>
      </c>
      <c r="C25" s="50" t="s">
        <v>111</v>
      </c>
      <c r="F25" s="56"/>
      <c r="G25" s="57"/>
      <c r="H25" s="57"/>
    </row>
    <row r="26" spans="1:8" ht="28.8">
      <c r="A26" s="44">
        <v>21</v>
      </c>
      <c r="B26" s="11" t="s">
        <v>19</v>
      </c>
      <c r="C26" s="50" t="s">
        <v>30</v>
      </c>
      <c r="F26" s="56"/>
      <c r="G26" s="57"/>
      <c r="H26" s="57"/>
    </row>
    <row r="27" spans="1:8" ht="28.8">
      <c r="A27" s="52"/>
      <c r="B27" s="11" t="s">
        <v>19</v>
      </c>
      <c r="C27" s="53" t="s">
        <v>137</v>
      </c>
      <c r="D27" s="56">
        <v>203</v>
      </c>
      <c r="E27" s="56">
        <v>424</v>
      </c>
      <c r="F27" s="56">
        <f>E27-D27</f>
        <v>221</v>
      </c>
      <c r="G27" s="57">
        <f>F27/D27%</f>
        <v>108.86699507389163</v>
      </c>
      <c r="H27" s="57">
        <f>MIN(5,MAX(0,G27*5/100))</f>
        <v>5</v>
      </c>
    </row>
    <row r="28" spans="1:8" ht="28.8">
      <c r="A28" s="44">
        <v>22</v>
      </c>
      <c r="B28" s="11" t="s">
        <v>32</v>
      </c>
      <c r="C28" s="45" t="s">
        <v>34</v>
      </c>
      <c r="F28" s="56"/>
      <c r="G28" s="57"/>
      <c r="H28" s="57"/>
    </row>
    <row r="29" spans="1:8" ht="72">
      <c r="A29" s="44">
        <v>23</v>
      </c>
      <c r="B29" s="11" t="s">
        <v>32</v>
      </c>
      <c r="C29" s="45" t="s">
        <v>33</v>
      </c>
      <c r="F29" s="56"/>
      <c r="G29" s="57"/>
      <c r="H29" s="57"/>
    </row>
    <row r="30" spans="1:8" ht="28.8">
      <c r="A30" s="44">
        <v>24</v>
      </c>
      <c r="B30" s="11" t="s">
        <v>32</v>
      </c>
      <c r="C30" s="50" t="s">
        <v>112</v>
      </c>
      <c r="F30" s="56"/>
      <c r="G30" s="57"/>
      <c r="H30" s="57"/>
    </row>
    <row r="31" spans="1:8" ht="28.8">
      <c r="A31" s="58"/>
      <c r="B31" s="11" t="s">
        <v>32</v>
      </c>
      <c r="C31" s="59" t="s">
        <v>121</v>
      </c>
      <c r="D31" s="62">
        <v>1236</v>
      </c>
      <c r="E31" s="62">
        <v>772</v>
      </c>
      <c r="F31" s="56">
        <f>E31-D31</f>
        <v>-464</v>
      </c>
      <c r="G31" s="57">
        <f>F31/D31%</f>
        <v>-37.540453074433657</v>
      </c>
      <c r="H31" s="57">
        <f>MIN(5,MAX(0,G31*5/100))</f>
        <v>0</v>
      </c>
    </row>
    <row r="32" spans="1:8" ht="28.8">
      <c r="A32" s="44">
        <v>25</v>
      </c>
      <c r="B32" s="11" t="s">
        <v>36</v>
      </c>
      <c r="C32" s="45" t="s">
        <v>42</v>
      </c>
      <c r="F32" s="56"/>
      <c r="G32" s="57"/>
      <c r="H32" s="57"/>
    </row>
    <row r="33" spans="1:8" ht="28.8">
      <c r="A33" s="44">
        <v>26</v>
      </c>
      <c r="B33" s="11" t="s">
        <v>36</v>
      </c>
      <c r="C33" s="50" t="s">
        <v>37</v>
      </c>
      <c r="F33" s="56"/>
      <c r="G33" s="57"/>
      <c r="H33" s="57"/>
    </row>
    <row r="34" spans="1:8" ht="28.8">
      <c r="A34" s="44">
        <v>27</v>
      </c>
      <c r="B34" s="11" t="s">
        <v>36</v>
      </c>
      <c r="C34" s="50" t="s">
        <v>38</v>
      </c>
      <c r="F34" s="56"/>
      <c r="G34" s="57"/>
      <c r="H34" s="57"/>
    </row>
    <row r="35" spans="1:8" ht="28.2">
      <c r="A35" s="44">
        <v>28</v>
      </c>
      <c r="B35" s="11" t="s">
        <v>36</v>
      </c>
      <c r="C35" s="50" t="s">
        <v>39</v>
      </c>
      <c r="F35" s="56"/>
      <c r="G35" s="57"/>
      <c r="H35" s="57"/>
    </row>
    <row r="36" spans="1:8" ht="28.8">
      <c r="A36" s="44">
        <v>29</v>
      </c>
      <c r="B36" s="11" t="s">
        <v>36</v>
      </c>
      <c r="C36" s="50" t="s">
        <v>40</v>
      </c>
      <c r="F36" s="56"/>
      <c r="G36" s="57"/>
      <c r="H36" s="57"/>
    </row>
    <row r="37" spans="1:8" ht="28.8">
      <c r="A37" s="44">
        <v>30</v>
      </c>
      <c r="B37" s="11" t="s">
        <v>36</v>
      </c>
      <c r="C37" s="50" t="s">
        <v>41</v>
      </c>
      <c r="F37" s="56"/>
      <c r="G37" s="57"/>
      <c r="H37" s="57"/>
    </row>
    <row r="38" spans="1:8" ht="28.8">
      <c r="A38" s="44">
        <v>31</v>
      </c>
      <c r="B38" s="11" t="s">
        <v>36</v>
      </c>
      <c r="C38" s="50" t="s">
        <v>113</v>
      </c>
      <c r="F38" s="56"/>
      <c r="G38" s="57"/>
      <c r="H38" s="57"/>
    </row>
    <row r="39" spans="1:8" ht="28.8">
      <c r="A39" s="53"/>
      <c r="B39" s="11" t="s">
        <v>36</v>
      </c>
      <c r="C39" s="53" t="s">
        <v>138</v>
      </c>
      <c r="D39" s="63">
        <v>44</v>
      </c>
      <c r="E39" s="63">
        <v>3</v>
      </c>
      <c r="F39" s="56">
        <f>E39-D39</f>
        <v>-41</v>
      </c>
      <c r="G39" s="57">
        <f>F39/D39%</f>
        <v>-93.181818181818187</v>
      </c>
      <c r="H39" s="57">
        <f>MIN(5,MAX(0,G39*5/100))</f>
        <v>0</v>
      </c>
    </row>
    <row r="40" spans="1:8" ht="28.8">
      <c r="A40" s="44">
        <v>32</v>
      </c>
      <c r="B40" s="11" t="s">
        <v>44</v>
      </c>
      <c r="C40" s="45" t="s">
        <v>46</v>
      </c>
      <c r="F40" s="56"/>
      <c r="G40" s="57"/>
      <c r="H40" s="57"/>
    </row>
    <row r="41" spans="1:8" ht="28.8">
      <c r="A41" s="44">
        <v>33</v>
      </c>
      <c r="B41" s="11" t="s">
        <v>44</v>
      </c>
      <c r="C41" s="45" t="s">
        <v>48</v>
      </c>
      <c r="F41" s="56"/>
      <c r="G41" s="57"/>
      <c r="H41" s="57"/>
    </row>
    <row r="42" spans="1:8" ht="28.8">
      <c r="A42" s="44">
        <v>34</v>
      </c>
      <c r="B42" s="11" t="s">
        <v>44</v>
      </c>
      <c r="C42" s="45" t="s">
        <v>49</v>
      </c>
      <c r="F42" s="56"/>
      <c r="G42" s="57"/>
      <c r="H42" s="57"/>
    </row>
    <row r="43" spans="1:8" ht="28.8">
      <c r="A43" s="44">
        <v>35</v>
      </c>
      <c r="B43" s="11" t="s">
        <v>44</v>
      </c>
      <c r="C43" s="50" t="s">
        <v>45</v>
      </c>
      <c r="F43" s="56"/>
      <c r="G43" s="57"/>
      <c r="H43" s="57"/>
    </row>
    <row r="44" spans="1:8" ht="28.8">
      <c r="A44" s="44">
        <v>36</v>
      </c>
      <c r="B44" s="11" t="s">
        <v>44</v>
      </c>
      <c r="C44" s="50" t="s">
        <v>47</v>
      </c>
      <c r="F44" s="56"/>
      <c r="G44" s="57"/>
      <c r="H44" s="57"/>
    </row>
    <row r="45" spans="1:8" ht="43.2">
      <c r="A45" s="44">
        <v>37</v>
      </c>
      <c r="B45" s="11" t="s">
        <v>44</v>
      </c>
      <c r="C45" s="50" t="s">
        <v>50</v>
      </c>
      <c r="F45" s="56"/>
      <c r="G45" s="57"/>
      <c r="H45" s="57"/>
    </row>
    <row r="46" spans="1:8" ht="28.2">
      <c r="A46" s="44">
        <v>38</v>
      </c>
      <c r="B46" s="11" t="s">
        <v>44</v>
      </c>
      <c r="C46" s="50" t="s">
        <v>114</v>
      </c>
      <c r="F46" s="56"/>
      <c r="G46" s="57"/>
      <c r="H46" s="57"/>
    </row>
    <row r="47" spans="1:8" ht="28.8">
      <c r="A47" s="52"/>
      <c r="B47" s="11" t="s">
        <v>44</v>
      </c>
      <c r="C47" s="53" t="s">
        <v>139</v>
      </c>
      <c r="D47" s="56">
        <v>424</v>
      </c>
      <c r="E47" s="56">
        <v>468</v>
      </c>
      <c r="F47" s="56">
        <f>E47-D47</f>
        <v>44</v>
      </c>
      <c r="G47" s="57">
        <f>F47/D47%</f>
        <v>10.377358490566037</v>
      </c>
      <c r="H47" s="57">
        <f>MIN(5,MAX(0,G47*5/100))</f>
        <v>0.51886792452830188</v>
      </c>
    </row>
    <row r="48" spans="1:8" ht="28.8">
      <c r="A48" s="44">
        <v>39</v>
      </c>
      <c r="B48" s="11" t="s">
        <v>52</v>
      </c>
      <c r="C48" s="45" t="s">
        <v>53</v>
      </c>
      <c r="F48" s="56"/>
      <c r="G48" s="57"/>
      <c r="H48" s="57"/>
    </row>
    <row r="49" spans="1:8" ht="28.8">
      <c r="A49" s="44">
        <v>40</v>
      </c>
      <c r="B49" s="11" t="s">
        <v>52</v>
      </c>
      <c r="C49" s="45" t="s">
        <v>55</v>
      </c>
      <c r="F49" s="56"/>
      <c r="G49" s="57"/>
      <c r="H49" s="57"/>
    </row>
    <row r="50" spans="1:8" ht="28.8">
      <c r="A50" s="44">
        <v>41</v>
      </c>
      <c r="B50" s="11" t="s">
        <v>52</v>
      </c>
      <c r="C50" s="45" t="s">
        <v>56</v>
      </c>
      <c r="F50" s="56"/>
      <c r="G50" s="57"/>
      <c r="H50" s="57"/>
    </row>
    <row r="51" spans="1:8" ht="28.8">
      <c r="A51" s="44">
        <v>42</v>
      </c>
      <c r="B51" s="11" t="s">
        <v>52</v>
      </c>
      <c r="C51" s="45" t="s">
        <v>58</v>
      </c>
      <c r="F51" s="56"/>
      <c r="G51" s="57"/>
      <c r="H51" s="57"/>
    </row>
    <row r="52" spans="1:8" ht="28.8">
      <c r="A52" s="44">
        <v>43</v>
      </c>
      <c r="B52" s="11" t="s">
        <v>52</v>
      </c>
      <c r="C52" s="50" t="s">
        <v>54</v>
      </c>
      <c r="F52" s="56"/>
      <c r="G52" s="57"/>
      <c r="H52" s="57"/>
    </row>
    <row r="53" spans="1:8" ht="28.8">
      <c r="A53" s="44">
        <v>44</v>
      </c>
      <c r="B53" s="11" t="s">
        <v>52</v>
      </c>
      <c r="C53" s="50" t="s">
        <v>57</v>
      </c>
      <c r="F53" s="56"/>
      <c r="G53" s="57"/>
      <c r="H53" s="57"/>
    </row>
    <row r="54" spans="1:8" ht="28.8">
      <c r="A54" s="44">
        <v>45</v>
      </c>
      <c r="B54" s="11" t="s">
        <v>52</v>
      </c>
      <c r="C54" s="50" t="s">
        <v>115</v>
      </c>
      <c r="F54" s="56"/>
      <c r="G54" s="57"/>
      <c r="H54" s="57"/>
    </row>
    <row r="55" spans="1:8" ht="28.8">
      <c r="A55" s="52"/>
      <c r="B55" s="11" t="s">
        <v>52</v>
      </c>
      <c r="C55" s="53" t="s">
        <v>140</v>
      </c>
      <c r="D55" s="56">
        <v>1289</v>
      </c>
      <c r="E55" s="56">
        <v>2817</v>
      </c>
      <c r="F55" s="56">
        <f>E55-D55</f>
        <v>1528</v>
      </c>
      <c r="G55" s="57">
        <f>F55/D55%</f>
        <v>118.54150504266873</v>
      </c>
      <c r="H55" s="57">
        <f>MIN(5,MAX(0,G55*5/100))</f>
        <v>5</v>
      </c>
    </row>
    <row r="56" spans="1:8" ht="28.8">
      <c r="A56" s="44">
        <v>46</v>
      </c>
      <c r="B56" s="11" t="s">
        <v>60</v>
      </c>
      <c r="C56" s="45" t="s">
        <v>61</v>
      </c>
      <c r="F56" s="56"/>
      <c r="G56" s="57"/>
      <c r="H56" s="57"/>
    </row>
    <row r="57" spans="1:8" ht="28.8">
      <c r="A57" s="44">
        <v>47</v>
      </c>
      <c r="B57" s="11" t="s">
        <v>60</v>
      </c>
      <c r="C57" s="45" t="s">
        <v>63</v>
      </c>
      <c r="F57" s="56"/>
      <c r="G57" s="57"/>
      <c r="H57" s="57"/>
    </row>
    <row r="58" spans="1:8" ht="28.8">
      <c r="A58" s="44">
        <v>48</v>
      </c>
      <c r="B58" s="11" t="s">
        <v>60</v>
      </c>
      <c r="C58" s="50" t="s">
        <v>62</v>
      </c>
      <c r="F58" s="56"/>
      <c r="G58" s="57"/>
      <c r="H58" s="57"/>
    </row>
    <row r="59" spans="1:8" ht="28.2">
      <c r="A59" s="44">
        <v>49</v>
      </c>
      <c r="B59" s="11" t="s">
        <v>60</v>
      </c>
      <c r="C59" s="50" t="s">
        <v>116</v>
      </c>
      <c r="F59" s="56"/>
      <c r="G59" s="57"/>
      <c r="H59" s="57"/>
    </row>
    <row r="60" spans="1:8" ht="28.8">
      <c r="A60" s="44">
        <v>50</v>
      </c>
      <c r="B60" s="11" t="s">
        <v>60</v>
      </c>
      <c r="C60" s="50" t="s">
        <v>64</v>
      </c>
      <c r="F60" s="56"/>
      <c r="G60" s="57"/>
      <c r="H60" s="57"/>
    </row>
    <row r="61" spans="1:8" ht="28.8">
      <c r="A61" s="52"/>
      <c r="B61" s="11" t="s">
        <v>60</v>
      </c>
      <c r="C61" s="53" t="s">
        <v>141</v>
      </c>
      <c r="D61" s="56">
        <v>47</v>
      </c>
      <c r="E61" s="56">
        <v>49</v>
      </c>
      <c r="F61" s="56">
        <f>E61-D61</f>
        <v>2</v>
      </c>
      <c r="G61" s="57">
        <f>F61/D61%</f>
        <v>4.2553191489361701</v>
      </c>
      <c r="H61" s="57">
        <f>MIN(5,MAX(0,G61*5/100))</f>
        <v>0.21276595744680851</v>
      </c>
    </row>
    <row r="62" spans="1:8" ht="28.8">
      <c r="A62" s="44">
        <v>51</v>
      </c>
      <c r="B62" s="11" t="s">
        <v>66</v>
      </c>
      <c r="C62" s="45" t="s">
        <v>70</v>
      </c>
      <c r="F62" s="56"/>
      <c r="G62" s="57"/>
      <c r="H62" s="57"/>
    </row>
    <row r="63" spans="1:8" ht="28.8">
      <c r="A63" s="44">
        <v>52</v>
      </c>
      <c r="B63" s="11" t="s">
        <v>66</v>
      </c>
      <c r="C63" s="45" t="s">
        <v>71</v>
      </c>
      <c r="F63" s="56"/>
      <c r="G63" s="57"/>
      <c r="H63" s="57"/>
    </row>
    <row r="64" spans="1:8" ht="28.2">
      <c r="A64" s="44">
        <v>53</v>
      </c>
      <c r="B64" s="11" t="s">
        <v>66</v>
      </c>
      <c r="C64" s="50" t="s">
        <v>67</v>
      </c>
      <c r="F64" s="56"/>
      <c r="G64" s="57"/>
      <c r="H64" s="57"/>
    </row>
    <row r="65" spans="1:8" ht="28.8">
      <c r="A65" s="44">
        <v>54</v>
      </c>
      <c r="B65" s="11" t="s">
        <v>66</v>
      </c>
      <c r="C65" s="50" t="s">
        <v>68</v>
      </c>
      <c r="F65" s="56"/>
      <c r="G65" s="57"/>
      <c r="H65" s="57"/>
    </row>
    <row r="66" spans="1:8" ht="28.8">
      <c r="A66" s="44">
        <v>55</v>
      </c>
      <c r="B66" s="11" t="s">
        <v>66</v>
      </c>
      <c r="C66" s="50" t="s">
        <v>69</v>
      </c>
      <c r="F66" s="56"/>
      <c r="G66" s="57"/>
      <c r="H66" s="57"/>
    </row>
    <row r="67" spans="1:8" ht="28.8">
      <c r="A67" s="52"/>
      <c r="B67" s="11" t="s">
        <v>66</v>
      </c>
      <c r="C67" s="53" t="s">
        <v>142</v>
      </c>
      <c r="D67" s="56">
        <v>19</v>
      </c>
      <c r="E67" s="56">
        <v>271</v>
      </c>
      <c r="F67" s="56">
        <f t="shared" ref="F67:F68" si="0">E67-D67</f>
        <v>252</v>
      </c>
      <c r="G67" s="57">
        <f t="shared" ref="G67:G68" si="1">F67/D67%</f>
        <v>1326.3157894736842</v>
      </c>
      <c r="H67" s="57">
        <f t="shared" ref="H67:H68" si="2">MIN(5,MAX(0,G67*5/100))</f>
        <v>5</v>
      </c>
    </row>
    <row r="68" spans="1:8" ht="28.8">
      <c r="A68" s="52">
        <v>56</v>
      </c>
      <c r="B68" s="65" t="s">
        <v>73</v>
      </c>
      <c r="C68" s="66" t="s">
        <v>117</v>
      </c>
      <c r="D68" s="56">
        <v>3360</v>
      </c>
      <c r="E68" s="56">
        <f>SUM(E14:E67)</f>
        <v>5156</v>
      </c>
      <c r="F68" s="56">
        <f t="shared" si="0"/>
        <v>1796</v>
      </c>
      <c r="G68" s="57">
        <f t="shared" si="1"/>
        <v>53.452380952380949</v>
      </c>
      <c r="H68" s="57">
        <f t="shared" si="2"/>
        <v>2.6726190476190474</v>
      </c>
    </row>
    <row r="69" spans="1:8" ht="13.2">
      <c r="B69" s="67"/>
      <c r="C69" s="35"/>
      <c r="G69" s="49"/>
      <c r="H69" s="49"/>
    </row>
    <row r="70" spans="1:8" ht="13.2">
      <c r="B70" s="67"/>
      <c r="C70" s="35"/>
      <c r="G70" s="49"/>
      <c r="H70" s="49"/>
    </row>
    <row r="71" spans="1:8" ht="13.2">
      <c r="B71" s="67"/>
      <c r="C71" s="35"/>
      <c r="G71" s="49"/>
      <c r="H71" s="49"/>
    </row>
    <row r="72" spans="1:8" ht="13.2">
      <c r="B72" s="67"/>
      <c r="C72" s="35"/>
      <c r="G72" s="49"/>
      <c r="H72" s="49"/>
    </row>
    <row r="73" spans="1:8" ht="13.2">
      <c r="B73" s="67"/>
      <c r="C73" s="35"/>
      <c r="G73" s="49"/>
      <c r="H73" s="49"/>
    </row>
    <row r="74" spans="1:8" ht="13.2">
      <c r="B74" s="67"/>
      <c r="C74" s="35"/>
      <c r="G74" s="49"/>
      <c r="H74" s="49"/>
    </row>
    <row r="75" spans="1:8" ht="13.2">
      <c r="B75" s="67"/>
      <c r="C75" s="35"/>
      <c r="G75" s="49"/>
      <c r="H75" s="49"/>
    </row>
    <row r="76" spans="1:8" ht="13.2">
      <c r="B76" s="67"/>
      <c r="C76" s="35"/>
      <c r="G76" s="49"/>
      <c r="H76" s="49"/>
    </row>
    <row r="77" spans="1:8" ht="13.2">
      <c r="B77" s="67"/>
      <c r="C77" s="35"/>
      <c r="G77" s="49"/>
      <c r="H77" s="49"/>
    </row>
    <row r="78" spans="1:8" ht="13.2">
      <c r="B78" s="67"/>
      <c r="C78" s="35"/>
      <c r="G78" s="49"/>
      <c r="H78" s="49"/>
    </row>
    <row r="79" spans="1:8" ht="13.2">
      <c r="B79" s="67"/>
      <c r="C79" s="35"/>
      <c r="G79" s="49"/>
      <c r="H79" s="49"/>
    </row>
    <row r="80" spans="1:8" ht="13.2">
      <c r="B80" s="67"/>
      <c r="C80" s="35"/>
      <c r="G80" s="49"/>
      <c r="H80" s="49"/>
    </row>
    <row r="81" spans="2:8" ht="13.2">
      <c r="B81" s="67"/>
      <c r="C81" s="35"/>
      <c r="G81" s="49"/>
      <c r="H81" s="49"/>
    </row>
    <row r="82" spans="2:8" ht="13.2">
      <c r="B82" s="67"/>
      <c r="C82" s="35"/>
      <c r="G82" s="49"/>
      <c r="H82" s="49"/>
    </row>
    <row r="83" spans="2:8" ht="13.2">
      <c r="B83" s="67"/>
      <c r="C83" s="35"/>
      <c r="G83" s="49"/>
      <c r="H83" s="49"/>
    </row>
    <row r="84" spans="2:8" ht="13.2">
      <c r="B84" s="67"/>
      <c r="C84" s="35"/>
      <c r="G84" s="49"/>
      <c r="H84" s="49"/>
    </row>
    <row r="85" spans="2:8" ht="13.2">
      <c r="B85" s="67"/>
      <c r="C85" s="35"/>
      <c r="G85" s="49"/>
      <c r="H85" s="49"/>
    </row>
    <row r="86" spans="2:8" ht="13.2">
      <c r="B86" s="67"/>
      <c r="C86" s="35"/>
      <c r="G86" s="49"/>
      <c r="H86" s="49"/>
    </row>
    <row r="87" spans="2:8" ht="13.2">
      <c r="B87" s="67"/>
      <c r="C87" s="35"/>
      <c r="G87" s="49"/>
      <c r="H87" s="49"/>
    </row>
    <row r="88" spans="2:8" ht="13.2">
      <c r="B88" s="67"/>
      <c r="C88" s="35"/>
      <c r="G88" s="49"/>
      <c r="H88" s="49"/>
    </row>
    <row r="89" spans="2:8" ht="13.2">
      <c r="B89" s="67"/>
      <c r="C89" s="35"/>
      <c r="G89" s="49"/>
      <c r="H89" s="49"/>
    </row>
    <row r="90" spans="2:8" ht="13.2">
      <c r="B90" s="67"/>
      <c r="C90" s="35"/>
      <c r="G90" s="49"/>
      <c r="H90" s="49"/>
    </row>
    <row r="91" spans="2:8" ht="13.2">
      <c r="B91" s="67"/>
      <c r="C91" s="35"/>
      <c r="G91" s="49"/>
      <c r="H91" s="49"/>
    </row>
    <row r="92" spans="2:8" ht="13.2">
      <c r="B92" s="67"/>
      <c r="C92" s="35"/>
      <c r="G92" s="49"/>
      <c r="H92" s="49"/>
    </row>
    <row r="93" spans="2:8" ht="13.2">
      <c r="B93" s="67"/>
      <c r="C93" s="35"/>
      <c r="G93" s="49"/>
      <c r="H93" s="49"/>
    </row>
    <row r="94" spans="2:8" ht="13.2">
      <c r="B94" s="67"/>
      <c r="C94" s="35"/>
      <c r="G94" s="49"/>
      <c r="H94" s="49"/>
    </row>
    <row r="95" spans="2:8" ht="13.2">
      <c r="B95" s="67"/>
      <c r="C95" s="35"/>
      <c r="G95" s="49"/>
      <c r="H95" s="49"/>
    </row>
    <row r="96" spans="2:8" ht="13.2">
      <c r="B96" s="67"/>
      <c r="C96" s="35"/>
      <c r="G96" s="49"/>
      <c r="H96" s="49"/>
    </row>
    <row r="97" spans="2:8" ht="13.2">
      <c r="B97" s="67"/>
      <c r="C97" s="35"/>
      <c r="G97" s="49"/>
      <c r="H97" s="49"/>
    </row>
    <row r="98" spans="2:8" ht="13.2">
      <c r="B98" s="67"/>
      <c r="C98" s="35"/>
      <c r="G98" s="49"/>
      <c r="H98" s="49"/>
    </row>
    <row r="99" spans="2:8" ht="13.2">
      <c r="B99" s="67"/>
      <c r="C99" s="35"/>
      <c r="G99" s="49"/>
      <c r="H99" s="49"/>
    </row>
    <row r="100" spans="2:8" ht="13.2">
      <c r="B100" s="67"/>
      <c r="C100" s="35"/>
      <c r="G100" s="49"/>
      <c r="H100" s="49"/>
    </row>
    <row r="101" spans="2:8" ht="13.2">
      <c r="B101" s="67"/>
      <c r="C101" s="35"/>
      <c r="G101" s="49"/>
      <c r="H101" s="49"/>
    </row>
    <row r="102" spans="2:8" ht="13.2">
      <c r="B102" s="67"/>
      <c r="C102" s="35"/>
      <c r="G102" s="49"/>
      <c r="H102" s="49"/>
    </row>
    <row r="103" spans="2:8" ht="13.2">
      <c r="B103" s="67"/>
      <c r="C103" s="35"/>
      <c r="G103" s="49"/>
      <c r="H103" s="49"/>
    </row>
    <row r="104" spans="2:8" ht="13.2">
      <c r="B104" s="67"/>
      <c r="C104" s="35"/>
      <c r="G104" s="49"/>
      <c r="H104" s="49"/>
    </row>
    <row r="105" spans="2:8" ht="13.2">
      <c r="B105" s="67"/>
      <c r="C105" s="35"/>
      <c r="G105" s="49"/>
      <c r="H105" s="49"/>
    </row>
    <row r="106" spans="2:8" ht="13.2">
      <c r="B106" s="67"/>
      <c r="C106" s="35"/>
      <c r="G106" s="49"/>
      <c r="H106" s="49"/>
    </row>
    <row r="107" spans="2:8" ht="13.2">
      <c r="B107" s="67"/>
      <c r="C107" s="35"/>
      <c r="G107" s="49"/>
      <c r="H107" s="49"/>
    </row>
    <row r="108" spans="2:8" ht="13.2">
      <c r="B108" s="67"/>
      <c r="C108" s="35"/>
      <c r="G108" s="49"/>
      <c r="H108" s="49"/>
    </row>
    <row r="109" spans="2:8" ht="13.2">
      <c r="B109" s="67"/>
      <c r="C109" s="35"/>
      <c r="G109" s="49"/>
      <c r="H109" s="49"/>
    </row>
    <row r="110" spans="2:8" ht="13.2">
      <c r="B110" s="67"/>
      <c r="C110" s="35"/>
      <c r="G110" s="49"/>
      <c r="H110" s="49"/>
    </row>
    <row r="111" spans="2:8" ht="13.2">
      <c r="B111" s="67"/>
      <c r="C111" s="35"/>
      <c r="G111" s="49"/>
      <c r="H111" s="49"/>
    </row>
    <row r="112" spans="2:8" ht="13.2">
      <c r="B112" s="67"/>
      <c r="C112" s="35"/>
      <c r="G112" s="49"/>
      <c r="H112" s="49"/>
    </row>
    <row r="113" spans="2:8" ht="13.2">
      <c r="B113" s="67"/>
      <c r="C113" s="35"/>
      <c r="G113" s="49"/>
      <c r="H113" s="49"/>
    </row>
    <row r="114" spans="2:8" ht="13.2">
      <c r="B114" s="67"/>
      <c r="C114" s="35"/>
      <c r="G114" s="49"/>
      <c r="H114" s="49"/>
    </row>
    <row r="115" spans="2:8" ht="13.2">
      <c r="B115" s="67"/>
      <c r="C115" s="35"/>
      <c r="G115" s="49"/>
      <c r="H115" s="49"/>
    </row>
    <row r="116" spans="2:8" ht="13.2">
      <c r="B116" s="67"/>
      <c r="C116" s="35"/>
      <c r="G116" s="49"/>
      <c r="H116" s="49"/>
    </row>
    <row r="117" spans="2:8" ht="13.2">
      <c r="B117" s="67"/>
      <c r="C117" s="35"/>
      <c r="G117" s="49"/>
      <c r="H117" s="49"/>
    </row>
    <row r="118" spans="2:8" ht="13.2">
      <c r="B118" s="67"/>
      <c r="C118" s="35"/>
      <c r="G118" s="49"/>
      <c r="H118" s="49"/>
    </row>
    <row r="119" spans="2:8" ht="13.2">
      <c r="B119" s="67"/>
      <c r="C119" s="35"/>
      <c r="G119" s="49"/>
      <c r="H119" s="49"/>
    </row>
    <row r="120" spans="2:8" ht="13.2">
      <c r="B120" s="67"/>
      <c r="C120" s="35"/>
      <c r="G120" s="49"/>
      <c r="H120" s="49"/>
    </row>
    <row r="121" spans="2:8" ht="13.2">
      <c r="B121" s="67"/>
      <c r="C121" s="35"/>
      <c r="G121" s="49"/>
      <c r="H121" s="49"/>
    </row>
    <row r="122" spans="2:8" ht="13.2">
      <c r="B122" s="67"/>
      <c r="C122" s="35"/>
      <c r="G122" s="49"/>
      <c r="H122" s="49"/>
    </row>
    <row r="123" spans="2:8" ht="13.2">
      <c r="B123" s="67"/>
      <c r="C123" s="35"/>
      <c r="G123" s="49"/>
      <c r="H123" s="49"/>
    </row>
    <row r="124" spans="2:8" ht="13.2">
      <c r="B124" s="67"/>
      <c r="C124" s="35"/>
      <c r="G124" s="49"/>
      <c r="H124" s="49"/>
    </row>
    <row r="125" spans="2:8" ht="13.2">
      <c r="B125" s="67"/>
      <c r="C125" s="35"/>
      <c r="G125" s="49"/>
      <c r="H125" s="49"/>
    </row>
    <row r="126" spans="2:8" ht="13.2">
      <c r="B126" s="67"/>
      <c r="C126" s="35"/>
      <c r="G126" s="49"/>
      <c r="H126" s="49"/>
    </row>
    <row r="127" spans="2:8" ht="13.2">
      <c r="B127" s="67"/>
      <c r="C127" s="35"/>
      <c r="G127" s="49"/>
      <c r="H127" s="49"/>
    </row>
    <row r="128" spans="2:8" ht="13.2">
      <c r="B128" s="67"/>
      <c r="C128" s="35"/>
      <c r="G128" s="49"/>
      <c r="H128" s="49"/>
    </row>
    <row r="129" spans="2:8" ht="13.2">
      <c r="B129" s="67"/>
      <c r="C129" s="35"/>
      <c r="G129" s="49"/>
      <c r="H129" s="49"/>
    </row>
    <row r="130" spans="2:8" ht="13.2">
      <c r="B130" s="67"/>
      <c r="C130" s="35"/>
      <c r="G130" s="49"/>
      <c r="H130" s="49"/>
    </row>
    <row r="131" spans="2:8" ht="13.2">
      <c r="B131" s="67"/>
      <c r="C131" s="35"/>
      <c r="G131" s="49"/>
      <c r="H131" s="49"/>
    </row>
    <row r="132" spans="2:8" ht="13.2">
      <c r="B132" s="67"/>
      <c r="C132" s="35"/>
      <c r="G132" s="49"/>
      <c r="H132" s="49"/>
    </row>
    <row r="133" spans="2:8" ht="13.2">
      <c r="B133" s="67"/>
      <c r="C133" s="35"/>
      <c r="G133" s="49"/>
      <c r="H133" s="49"/>
    </row>
    <row r="134" spans="2:8" ht="13.2">
      <c r="B134" s="67"/>
      <c r="C134" s="35"/>
      <c r="G134" s="49"/>
      <c r="H134" s="49"/>
    </row>
    <row r="135" spans="2:8" ht="13.2">
      <c r="B135" s="67"/>
      <c r="C135" s="35"/>
      <c r="G135" s="49"/>
      <c r="H135" s="49"/>
    </row>
    <row r="136" spans="2:8" ht="13.2">
      <c r="B136" s="67"/>
      <c r="C136" s="35"/>
      <c r="G136" s="49"/>
      <c r="H136" s="49"/>
    </row>
    <row r="137" spans="2:8" ht="13.2">
      <c r="B137" s="67"/>
      <c r="C137" s="35"/>
      <c r="G137" s="49"/>
      <c r="H137" s="49"/>
    </row>
    <row r="138" spans="2:8" ht="13.2">
      <c r="B138" s="67"/>
      <c r="C138" s="35"/>
      <c r="G138" s="49"/>
      <c r="H138" s="49"/>
    </row>
    <row r="139" spans="2:8" ht="13.2">
      <c r="B139" s="67"/>
      <c r="C139" s="35"/>
      <c r="G139" s="49"/>
      <c r="H139" s="49"/>
    </row>
    <row r="140" spans="2:8" ht="13.2">
      <c r="B140" s="67"/>
      <c r="C140" s="35"/>
      <c r="G140" s="49"/>
      <c r="H140" s="49"/>
    </row>
    <row r="141" spans="2:8" ht="13.2">
      <c r="B141" s="67"/>
      <c r="C141" s="35"/>
      <c r="G141" s="49"/>
      <c r="H141" s="49"/>
    </row>
    <row r="142" spans="2:8" ht="13.2">
      <c r="B142" s="67"/>
      <c r="C142" s="35"/>
      <c r="G142" s="49"/>
      <c r="H142" s="49"/>
    </row>
    <row r="143" spans="2:8" ht="13.2">
      <c r="B143" s="67"/>
      <c r="C143" s="35"/>
      <c r="G143" s="49"/>
      <c r="H143" s="49"/>
    </row>
    <row r="144" spans="2:8" ht="13.2">
      <c r="B144" s="67"/>
      <c r="C144" s="35"/>
      <c r="G144" s="49"/>
      <c r="H144" s="49"/>
    </row>
    <row r="145" spans="2:8" ht="13.2">
      <c r="B145" s="67"/>
      <c r="C145" s="35"/>
      <c r="G145" s="49"/>
      <c r="H145" s="49"/>
    </row>
    <row r="146" spans="2:8" ht="13.2">
      <c r="B146" s="67"/>
      <c r="C146" s="35"/>
      <c r="G146" s="49"/>
      <c r="H146" s="49"/>
    </row>
    <row r="147" spans="2:8" ht="13.2">
      <c r="B147" s="67"/>
      <c r="C147" s="35"/>
      <c r="G147" s="49"/>
      <c r="H147" s="49"/>
    </row>
    <row r="148" spans="2:8" ht="13.2">
      <c r="B148" s="67"/>
      <c r="C148" s="35"/>
      <c r="G148" s="49"/>
      <c r="H148" s="49"/>
    </row>
    <row r="149" spans="2:8" ht="13.2">
      <c r="B149" s="67"/>
      <c r="C149" s="35"/>
      <c r="G149" s="49"/>
      <c r="H149" s="49"/>
    </row>
    <row r="150" spans="2:8" ht="13.2">
      <c r="B150" s="67"/>
      <c r="C150" s="35"/>
      <c r="G150" s="49"/>
      <c r="H150" s="49"/>
    </row>
    <row r="151" spans="2:8" ht="13.2">
      <c r="B151" s="67"/>
      <c r="C151" s="35"/>
      <c r="G151" s="49"/>
      <c r="H151" s="49"/>
    </row>
    <row r="152" spans="2:8" ht="13.2">
      <c r="B152" s="67"/>
      <c r="C152" s="35"/>
      <c r="G152" s="49"/>
      <c r="H152" s="49"/>
    </row>
    <row r="153" spans="2:8" ht="13.2">
      <c r="B153" s="67"/>
      <c r="C153" s="35"/>
      <c r="G153" s="49"/>
      <c r="H153" s="49"/>
    </row>
    <row r="154" spans="2:8" ht="13.2">
      <c r="B154" s="67"/>
      <c r="C154" s="35"/>
      <c r="G154" s="49"/>
      <c r="H154" s="49"/>
    </row>
    <row r="155" spans="2:8" ht="13.2">
      <c r="B155" s="67"/>
      <c r="C155" s="35"/>
      <c r="G155" s="49"/>
      <c r="H155" s="49"/>
    </row>
    <row r="156" spans="2:8" ht="13.2">
      <c r="B156" s="67"/>
      <c r="C156" s="35"/>
      <c r="G156" s="49"/>
      <c r="H156" s="49"/>
    </row>
    <row r="157" spans="2:8" ht="13.2">
      <c r="B157" s="67"/>
      <c r="C157" s="35"/>
      <c r="G157" s="49"/>
      <c r="H157" s="49"/>
    </row>
    <row r="158" spans="2:8" ht="13.2">
      <c r="B158" s="67"/>
      <c r="C158" s="35"/>
      <c r="G158" s="49"/>
      <c r="H158" s="49"/>
    </row>
    <row r="159" spans="2:8" ht="13.2">
      <c r="B159" s="67"/>
      <c r="C159" s="35"/>
      <c r="G159" s="49"/>
      <c r="H159" s="49"/>
    </row>
    <row r="160" spans="2:8" ht="13.2">
      <c r="B160" s="67"/>
      <c r="C160" s="35"/>
      <c r="G160" s="49"/>
      <c r="H160" s="49"/>
    </row>
    <row r="161" spans="2:8" ht="13.2">
      <c r="B161" s="67"/>
      <c r="C161" s="35"/>
      <c r="G161" s="49"/>
      <c r="H161" s="49"/>
    </row>
    <row r="162" spans="2:8" ht="13.2">
      <c r="B162" s="67"/>
      <c r="C162" s="35"/>
      <c r="G162" s="49"/>
      <c r="H162" s="49"/>
    </row>
    <row r="163" spans="2:8" ht="13.2">
      <c r="B163" s="67"/>
      <c r="C163" s="35"/>
      <c r="G163" s="49"/>
      <c r="H163" s="49"/>
    </row>
    <row r="164" spans="2:8" ht="13.2">
      <c r="B164" s="67"/>
      <c r="C164" s="35"/>
      <c r="G164" s="49"/>
      <c r="H164" s="49"/>
    </row>
    <row r="165" spans="2:8" ht="13.2">
      <c r="B165" s="67"/>
      <c r="C165" s="35"/>
      <c r="G165" s="49"/>
      <c r="H165" s="49"/>
    </row>
    <row r="166" spans="2:8" ht="13.2">
      <c r="B166" s="67"/>
      <c r="C166" s="35"/>
      <c r="G166" s="49"/>
      <c r="H166" s="49"/>
    </row>
    <row r="167" spans="2:8" ht="13.2">
      <c r="B167" s="67"/>
      <c r="C167" s="35"/>
      <c r="G167" s="49"/>
      <c r="H167" s="49"/>
    </row>
    <row r="168" spans="2:8" ht="13.2">
      <c r="B168" s="67"/>
      <c r="C168" s="35"/>
      <c r="G168" s="49"/>
      <c r="H168" s="49"/>
    </row>
    <row r="169" spans="2:8" ht="13.2">
      <c r="B169" s="67"/>
      <c r="C169" s="35"/>
      <c r="G169" s="49"/>
      <c r="H169" s="49"/>
    </row>
    <row r="170" spans="2:8" ht="13.2">
      <c r="B170" s="67"/>
      <c r="C170" s="35"/>
      <c r="G170" s="49"/>
      <c r="H170" s="49"/>
    </row>
    <row r="171" spans="2:8" ht="13.2">
      <c r="B171" s="67"/>
      <c r="C171" s="35"/>
      <c r="G171" s="49"/>
      <c r="H171" s="49"/>
    </row>
    <row r="172" spans="2:8" ht="13.2">
      <c r="B172" s="67"/>
      <c r="C172" s="35"/>
      <c r="G172" s="49"/>
      <c r="H172" s="49"/>
    </row>
    <row r="173" spans="2:8" ht="13.2">
      <c r="B173" s="67"/>
      <c r="C173" s="35"/>
      <c r="G173" s="49"/>
      <c r="H173" s="49"/>
    </row>
    <row r="174" spans="2:8" ht="13.2">
      <c r="B174" s="67"/>
      <c r="C174" s="35"/>
      <c r="G174" s="49"/>
      <c r="H174" s="49"/>
    </row>
    <row r="175" spans="2:8" ht="13.2">
      <c r="B175" s="67"/>
      <c r="C175" s="35"/>
      <c r="G175" s="49"/>
      <c r="H175" s="49"/>
    </row>
    <row r="176" spans="2:8" ht="13.2">
      <c r="B176" s="67"/>
      <c r="C176" s="35"/>
      <c r="G176" s="49"/>
      <c r="H176" s="49"/>
    </row>
    <row r="177" spans="2:8" ht="13.2">
      <c r="B177" s="67"/>
      <c r="C177" s="35"/>
      <c r="G177" s="49"/>
      <c r="H177" s="49"/>
    </row>
    <row r="178" spans="2:8" ht="13.2">
      <c r="B178" s="67"/>
      <c r="C178" s="35"/>
      <c r="G178" s="49"/>
      <c r="H178" s="49"/>
    </row>
    <row r="179" spans="2:8" ht="13.2">
      <c r="B179" s="67"/>
      <c r="C179" s="35"/>
      <c r="G179" s="49"/>
      <c r="H179" s="49"/>
    </row>
    <row r="180" spans="2:8" ht="13.2">
      <c r="B180" s="67"/>
      <c r="C180" s="35"/>
      <c r="G180" s="49"/>
      <c r="H180" s="49"/>
    </row>
    <row r="181" spans="2:8" ht="13.2">
      <c r="B181" s="67"/>
      <c r="C181" s="35"/>
      <c r="G181" s="49"/>
      <c r="H181" s="49"/>
    </row>
    <row r="182" spans="2:8" ht="13.2">
      <c r="B182" s="67"/>
      <c r="C182" s="35"/>
      <c r="G182" s="49"/>
      <c r="H182" s="49"/>
    </row>
    <row r="183" spans="2:8" ht="13.2">
      <c r="B183" s="67"/>
      <c r="C183" s="35"/>
      <c r="G183" s="49"/>
      <c r="H183" s="49"/>
    </row>
    <row r="184" spans="2:8" ht="13.2">
      <c r="B184" s="67"/>
      <c r="C184" s="35"/>
      <c r="G184" s="49"/>
      <c r="H184" s="49"/>
    </row>
    <row r="185" spans="2:8" ht="13.2">
      <c r="B185" s="67"/>
      <c r="C185" s="35"/>
      <c r="G185" s="49"/>
      <c r="H185" s="49"/>
    </row>
    <row r="186" spans="2:8" ht="13.2">
      <c r="B186" s="67"/>
      <c r="C186" s="35"/>
      <c r="G186" s="49"/>
      <c r="H186" s="49"/>
    </row>
    <row r="187" spans="2:8" ht="13.2">
      <c r="B187" s="67"/>
      <c r="C187" s="35"/>
      <c r="G187" s="49"/>
      <c r="H187" s="49"/>
    </row>
    <row r="188" spans="2:8" ht="13.2">
      <c r="B188" s="67"/>
      <c r="C188" s="35"/>
      <c r="G188" s="49"/>
      <c r="H188" s="49"/>
    </row>
    <row r="189" spans="2:8" ht="13.2">
      <c r="B189" s="67"/>
      <c r="C189" s="35"/>
      <c r="G189" s="49"/>
      <c r="H189" s="49"/>
    </row>
    <row r="190" spans="2:8" ht="13.2">
      <c r="B190" s="67"/>
      <c r="C190" s="35"/>
      <c r="G190" s="49"/>
      <c r="H190" s="49"/>
    </row>
    <row r="191" spans="2:8" ht="13.2">
      <c r="B191" s="67"/>
      <c r="C191" s="35"/>
      <c r="G191" s="49"/>
      <c r="H191" s="49"/>
    </row>
    <row r="192" spans="2:8" ht="13.2">
      <c r="B192" s="67"/>
      <c r="C192" s="35"/>
      <c r="G192" s="49"/>
      <c r="H192" s="49"/>
    </row>
    <row r="193" spans="2:8" ht="13.2">
      <c r="B193" s="67"/>
      <c r="C193" s="35"/>
      <c r="G193" s="49"/>
      <c r="H193" s="49"/>
    </row>
    <row r="194" spans="2:8" ht="13.2">
      <c r="B194" s="67"/>
      <c r="C194" s="35"/>
      <c r="G194" s="49"/>
      <c r="H194" s="49"/>
    </row>
    <row r="195" spans="2:8" ht="13.2">
      <c r="B195" s="67"/>
      <c r="C195" s="35"/>
      <c r="G195" s="49"/>
      <c r="H195" s="49"/>
    </row>
    <row r="196" spans="2:8" ht="13.2">
      <c r="B196" s="67"/>
      <c r="C196" s="35"/>
      <c r="G196" s="49"/>
      <c r="H196" s="49"/>
    </row>
    <row r="197" spans="2:8" ht="13.2">
      <c r="B197" s="67"/>
      <c r="C197" s="35"/>
      <c r="G197" s="49"/>
      <c r="H197" s="49"/>
    </row>
    <row r="198" spans="2:8" ht="13.2">
      <c r="B198" s="67"/>
      <c r="C198" s="35"/>
      <c r="G198" s="49"/>
      <c r="H198" s="49"/>
    </row>
    <row r="199" spans="2:8" ht="13.2">
      <c r="B199" s="67"/>
      <c r="C199" s="35"/>
      <c r="G199" s="49"/>
      <c r="H199" s="49"/>
    </row>
    <row r="200" spans="2:8" ht="13.2">
      <c r="B200" s="67"/>
      <c r="C200" s="35"/>
      <c r="G200" s="49"/>
      <c r="H200" s="49"/>
    </row>
    <row r="201" spans="2:8" ht="13.2">
      <c r="B201" s="67"/>
      <c r="C201" s="35"/>
      <c r="G201" s="49"/>
      <c r="H201" s="49"/>
    </row>
    <row r="202" spans="2:8" ht="13.2">
      <c r="B202" s="67"/>
      <c r="C202" s="35"/>
      <c r="G202" s="49"/>
      <c r="H202" s="49"/>
    </row>
    <row r="203" spans="2:8" ht="13.2">
      <c r="B203" s="67"/>
      <c r="C203" s="35"/>
      <c r="G203" s="49"/>
      <c r="H203" s="49"/>
    </row>
    <row r="204" spans="2:8" ht="13.2">
      <c r="B204" s="67"/>
      <c r="C204" s="35"/>
      <c r="G204" s="49"/>
      <c r="H204" s="49"/>
    </row>
    <row r="205" spans="2:8" ht="13.2">
      <c r="B205" s="67"/>
      <c r="C205" s="35"/>
      <c r="G205" s="49"/>
      <c r="H205" s="49"/>
    </row>
    <row r="206" spans="2:8" ht="13.2">
      <c r="B206" s="67"/>
      <c r="C206" s="35"/>
      <c r="G206" s="49"/>
      <c r="H206" s="49"/>
    </row>
    <row r="207" spans="2:8" ht="13.2">
      <c r="B207" s="67"/>
      <c r="C207" s="35"/>
      <c r="G207" s="49"/>
      <c r="H207" s="49"/>
    </row>
    <row r="208" spans="2:8" ht="13.2">
      <c r="B208" s="67"/>
      <c r="C208" s="35"/>
      <c r="G208" s="49"/>
      <c r="H208" s="49"/>
    </row>
    <row r="209" spans="2:8" ht="13.2">
      <c r="B209" s="67"/>
      <c r="C209" s="35"/>
      <c r="G209" s="49"/>
      <c r="H209" s="49"/>
    </row>
    <row r="210" spans="2:8" ht="13.2">
      <c r="B210" s="67"/>
      <c r="C210" s="35"/>
      <c r="G210" s="49"/>
      <c r="H210" s="49"/>
    </row>
    <row r="211" spans="2:8" ht="13.2">
      <c r="B211" s="67"/>
      <c r="C211" s="35"/>
      <c r="G211" s="49"/>
      <c r="H211" s="49"/>
    </row>
    <row r="212" spans="2:8" ht="13.2">
      <c r="B212" s="67"/>
      <c r="C212" s="35"/>
      <c r="G212" s="49"/>
      <c r="H212" s="49"/>
    </row>
    <row r="213" spans="2:8" ht="13.2">
      <c r="B213" s="67"/>
      <c r="C213" s="35"/>
      <c r="G213" s="49"/>
      <c r="H213" s="49"/>
    </row>
    <row r="214" spans="2:8" ht="13.2">
      <c r="B214" s="67"/>
      <c r="C214" s="35"/>
      <c r="G214" s="49"/>
      <c r="H214" s="49"/>
    </row>
    <row r="215" spans="2:8" ht="13.2">
      <c r="B215" s="67"/>
      <c r="C215" s="35"/>
      <c r="G215" s="49"/>
      <c r="H215" s="49"/>
    </row>
    <row r="216" spans="2:8" ht="13.2">
      <c r="B216" s="67"/>
      <c r="C216" s="35"/>
      <c r="G216" s="49"/>
      <c r="H216" s="49"/>
    </row>
    <row r="217" spans="2:8" ht="13.2">
      <c r="B217" s="67"/>
      <c r="C217" s="35"/>
      <c r="G217" s="49"/>
      <c r="H217" s="49"/>
    </row>
    <row r="218" spans="2:8" ht="13.2">
      <c r="B218" s="67"/>
      <c r="C218" s="35"/>
      <c r="G218" s="49"/>
      <c r="H218" s="49"/>
    </row>
    <row r="219" spans="2:8" ht="13.2">
      <c r="B219" s="67"/>
      <c r="C219" s="35"/>
      <c r="G219" s="49"/>
      <c r="H219" s="49"/>
    </row>
    <row r="220" spans="2:8" ht="13.2">
      <c r="B220" s="67"/>
      <c r="C220" s="35"/>
      <c r="G220" s="49"/>
      <c r="H220" s="49"/>
    </row>
    <row r="221" spans="2:8" ht="13.2">
      <c r="B221" s="67"/>
      <c r="C221" s="35"/>
      <c r="G221" s="49"/>
      <c r="H221" s="49"/>
    </row>
    <row r="222" spans="2:8" ht="13.2">
      <c r="B222" s="67"/>
      <c r="C222" s="35"/>
      <c r="G222" s="49"/>
      <c r="H222" s="49"/>
    </row>
    <row r="223" spans="2:8" ht="13.2">
      <c r="B223" s="67"/>
      <c r="C223" s="35"/>
      <c r="G223" s="49"/>
      <c r="H223" s="49"/>
    </row>
    <row r="224" spans="2:8" ht="13.2">
      <c r="B224" s="67"/>
      <c r="C224" s="35"/>
      <c r="G224" s="49"/>
      <c r="H224" s="49"/>
    </row>
    <row r="225" spans="2:8" ht="13.2">
      <c r="B225" s="67"/>
      <c r="C225" s="35"/>
      <c r="G225" s="49"/>
      <c r="H225" s="49"/>
    </row>
    <row r="226" spans="2:8" ht="13.2">
      <c r="B226" s="67"/>
      <c r="C226" s="35"/>
      <c r="G226" s="49"/>
      <c r="H226" s="49"/>
    </row>
    <row r="227" spans="2:8" ht="13.2">
      <c r="B227" s="67"/>
      <c r="C227" s="35"/>
      <c r="G227" s="49"/>
      <c r="H227" s="49"/>
    </row>
    <row r="228" spans="2:8" ht="13.2">
      <c r="B228" s="67"/>
      <c r="C228" s="35"/>
      <c r="G228" s="49"/>
      <c r="H228" s="49"/>
    </row>
    <row r="229" spans="2:8" ht="13.2">
      <c r="B229" s="67"/>
      <c r="C229" s="35"/>
      <c r="G229" s="49"/>
      <c r="H229" s="49"/>
    </row>
    <row r="230" spans="2:8" ht="13.2">
      <c r="B230" s="67"/>
      <c r="C230" s="35"/>
      <c r="G230" s="49"/>
      <c r="H230" s="49"/>
    </row>
    <row r="231" spans="2:8" ht="13.2">
      <c r="B231" s="67"/>
      <c r="C231" s="35"/>
      <c r="G231" s="49"/>
      <c r="H231" s="49"/>
    </row>
    <row r="232" spans="2:8" ht="13.2">
      <c r="B232" s="67"/>
      <c r="C232" s="35"/>
      <c r="G232" s="49"/>
      <c r="H232" s="49"/>
    </row>
    <row r="233" spans="2:8" ht="13.2">
      <c r="B233" s="67"/>
      <c r="C233" s="35"/>
      <c r="G233" s="49"/>
      <c r="H233" s="49"/>
    </row>
    <row r="234" spans="2:8" ht="13.2">
      <c r="B234" s="67"/>
      <c r="C234" s="35"/>
      <c r="G234" s="49"/>
      <c r="H234" s="49"/>
    </row>
    <row r="235" spans="2:8" ht="13.2">
      <c r="B235" s="67"/>
      <c r="C235" s="35"/>
      <c r="G235" s="49"/>
      <c r="H235" s="49"/>
    </row>
    <row r="236" spans="2:8" ht="13.2">
      <c r="B236" s="67"/>
      <c r="C236" s="35"/>
      <c r="G236" s="49"/>
      <c r="H236" s="49"/>
    </row>
    <row r="237" spans="2:8" ht="13.2">
      <c r="B237" s="67"/>
      <c r="C237" s="35"/>
      <c r="G237" s="49"/>
      <c r="H237" s="49"/>
    </row>
    <row r="238" spans="2:8" ht="13.2">
      <c r="B238" s="67"/>
      <c r="C238" s="35"/>
      <c r="G238" s="49"/>
      <c r="H238" s="49"/>
    </row>
    <row r="239" spans="2:8" ht="13.2">
      <c r="B239" s="67"/>
      <c r="C239" s="35"/>
      <c r="G239" s="49"/>
      <c r="H239" s="49"/>
    </row>
    <row r="240" spans="2:8" ht="13.2">
      <c r="B240" s="67"/>
      <c r="C240" s="35"/>
      <c r="G240" s="49"/>
      <c r="H240" s="49"/>
    </row>
    <row r="241" spans="2:8" ht="13.2">
      <c r="B241" s="67"/>
      <c r="C241" s="35"/>
      <c r="G241" s="49"/>
      <c r="H241" s="49"/>
    </row>
    <row r="242" spans="2:8" ht="13.2">
      <c r="B242" s="67"/>
      <c r="C242" s="35"/>
      <c r="G242" s="49"/>
      <c r="H242" s="49"/>
    </row>
    <row r="243" spans="2:8" ht="13.2">
      <c r="B243" s="67"/>
      <c r="C243" s="35"/>
      <c r="G243" s="49"/>
      <c r="H243" s="49"/>
    </row>
    <row r="244" spans="2:8" ht="13.2">
      <c r="B244" s="67"/>
      <c r="C244" s="35"/>
      <c r="G244" s="49"/>
      <c r="H244" s="49"/>
    </row>
    <row r="245" spans="2:8" ht="13.2">
      <c r="B245" s="67"/>
      <c r="C245" s="35"/>
      <c r="G245" s="49"/>
      <c r="H245" s="49"/>
    </row>
    <row r="246" spans="2:8" ht="13.2">
      <c r="B246" s="67"/>
      <c r="C246" s="35"/>
      <c r="G246" s="49"/>
      <c r="H246" s="49"/>
    </row>
    <row r="247" spans="2:8" ht="13.2">
      <c r="B247" s="67"/>
      <c r="C247" s="35"/>
      <c r="G247" s="49"/>
      <c r="H247" s="49"/>
    </row>
    <row r="248" spans="2:8" ht="13.2">
      <c r="B248" s="67"/>
      <c r="C248" s="35"/>
      <c r="G248" s="49"/>
      <c r="H248" s="49"/>
    </row>
    <row r="249" spans="2:8" ht="13.2">
      <c r="B249" s="67"/>
      <c r="C249" s="35"/>
      <c r="G249" s="49"/>
      <c r="H249" s="49"/>
    </row>
    <row r="250" spans="2:8" ht="13.2">
      <c r="B250" s="67"/>
      <c r="C250" s="35"/>
      <c r="G250" s="49"/>
      <c r="H250" s="49"/>
    </row>
    <row r="251" spans="2:8" ht="13.2">
      <c r="B251" s="67"/>
      <c r="C251" s="35"/>
      <c r="G251" s="49"/>
      <c r="H251" s="49"/>
    </row>
    <row r="252" spans="2:8" ht="13.2">
      <c r="B252" s="67"/>
      <c r="C252" s="35"/>
      <c r="G252" s="49"/>
      <c r="H252" s="49"/>
    </row>
    <row r="253" spans="2:8" ht="13.2">
      <c r="B253" s="67"/>
      <c r="C253" s="35"/>
      <c r="G253" s="49"/>
      <c r="H253" s="49"/>
    </row>
    <row r="254" spans="2:8" ht="13.2">
      <c r="B254" s="67"/>
      <c r="C254" s="35"/>
      <c r="G254" s="49"/>
      <c r="H254" s="49"/>
    </row>
    <row r="255" spans="2:8" ht="13.2">
      <c r="B255" s="67"/>
      <c r="C255" s="35"/>
      <c r="G255" s="49"/>
      <c r="H255" s="49"/>
    </row>
    <row r="256" spans="2:8" ht="13.2">
      <c r="B256" s="67"/>
      <c r="C256" s="35"/>
      <c r="G256" s="49"/>
      <c r="H256" s="49"/>
    </row>
    <row r="257" spans="2:8" ht="13.2">
      <c r="B257" s="67"/>
      <c r="C257" s="35"/>
      <c r="G257" s="49"/>
      <c r="H257" s="49"/>
    </row>
    <row r="258" spans="2:8" ht="13.2">
      <c r="B258" s="67"/>
      <c r="C258" s="35"/>
      <c r="G258" s="49"/>
      <c r="H258" s="49"/>
    </row>
    <row r="259" spans="2:8" ht="13.2">
      <c r="B259" s="67"/>
      <c r="C259" s="35"/>
      <c r="G259" s="49"/>
      <c r="H259" s="49"/>
    </row>
    <row r="260" spans="2:8" ht="13.2">
      <c r="B260" s="67"/>
      <c r="C260" s="35"/>
      <c r="G260" s="49"/>
      <c r="H260" s="49"/>
    </row>
    <row r="261" spans="2:8" ht="13.2">
      <c r="B261" s="67"/>
      <c r="C261" s="35"/>
      <c r="G261" s="49"/>
      <c r="H261" s="49"/>
    </row>
    <row r="262" spans="2:8" ht="13.2">
      <c r="B262" s="67"/>
      <c r="C262" s="35"/>
      <c r="G262" s="49"/>
      <c r="H262" s="49"/>
    </row>
    <row r="263" spans="2:8" ht="13.2">
      <c r="B263" s="67"/>
      <c r="C263" s="35"/>
      <c r="G263" s="49"/>
      <c r="H263" s="49"/>
    </row>
    <row r="264" spans="2:8" ht="13.2">
      <c r="B264" s="67"/>
      <c r="C264" s="35"/>
      <c r="G264" s="49"/>
      <c r="H264" s="49"/>
    </row>
    <row r="265" spans="2:8" ht="13.2">
      <c r="B265" s="67"/>
      <c r="C265" s="35"/>
      <c r="G265" s="49"/>
      <c r="H265" s="49"/>
    </row>
    <row r="266" spans="2:8" ht="13.2">
      <c r="B266" s="67"/>
      <c r="C266" s="35"/>
      <c r="G266" s="49"/>
      <c r="H266" s="49"/>
    </row>
    <row r="267" spans="2:8" ht="13.2">
      <c r="B267" s="67"/>
      <c r="C267" s="35"/>
      <c r="G267" s="49"/>
      <c r="H267" s="49"/>
    </row>
    <row r="268" spans="2:8" ht="13.2">
      <c r="B268" s="67"/>
      <c r="C268" s="35"/>
      <c r="G268" s="49"/>
      <c r="H268" s="49"/>
    </row>
    <row r="269" spans="2:8" ht="13.2">
      <c r="B269" s="67"/>
      <c r="C269" s="35"/>
      <c r="G269" s="49"/>
      <c r="H269" s="49"/>
    </row>
    <row r="270" spans="2:8" ht="13.2">
      <c r="B270" s="67"/>
      <c r="C270" s="35"/>
      <c r="G270" s="49"/>
      <c r="H270" s="49"/>
    </row>
    <row r="271" spans="2:8" ht="13.2">
      <c r="B271" s="67"/>
      <c r="C271" s="35"/>
      <c r="G271" s="49"/>
      <c r="H271" s="49"/>
    </row>
    <row r="272" spans="2:8" ht="13.2">
      <c r="B272" s="67"/>
      <c r="C272" s="35"/>
      <c r="G272" s="49"/>
      <c r="H272" s="49"/>
    </row>
    <row r="273" spans="2:8" ht="13.2">
      <c r="B273" s="67"/>
      <c r="C273" s="35"/>
      <c r="G273" s="49"/>
      <c r="H273" s="49"/>
    </row>
    <row r="274" spans="2:8" ht="13.2">
      <c r="B274" s="67"/>
      <c r="C274" s="35"/>
      <c r="G274" s="49"/>
      <c r="H274" s="49"/>
    </row>
    <row r="275" spans="2:8" ht="13.2">
      <c r="B275" s="67"/>
      <c r="C275" s="35"/>
      <c r="G275" s="49"/>
      <c r="H275" s="49"/>
    </row>
    <row r="276" spans="2:8" ht="13.2">
      <c r="B276" s="67"/>
      <c r="C276" s="35"/>
      <c r="G276" s="49"/>
      <c r="H276" s="49"/>
    </row>
    <row r="277" spans="2:8" ht="13.2">
      <c r="B277" s="67"/>
      <c r="C277" s="35"/>
      <c r="G277" s="49"/>
      <c r="H277" s="49"/>
    </row>
    <row r="278" spans="2:8" ht="13.2">
      <c r="B278" s="67"/>
      <c r="C278" s="35"/>
      <c r="G278" s="49"/>
      <c r="H278" s="49"/>
    </row>
    <row r="279" spans="2:8" ht="13.2">
      <c r="B279" s="67"/>
      <c r="C279" s="35"/>
      <c r="G279" s="49"/>
      <c r="H279" s="49"/>
    </row>
    <row r="280" spans="2:8" ht="13.2">
      <c r="B280" s="67"/>
      <c r="C280" s="35"/>
      <c r="G280" s="49"/>
      <c r="H280" s="49"/>
    </row>
    <row r="281" spans="2:8" ht="13.2">
      <c r="B281" s="67"/>
      <c r="C281" s="35"/>
      <c r="G281" s="49"/>
      <c r="H281" s="49"/>
    </row>
    <row r="282" spans="2:8" ht="13.2">
      <c r="B282" s="67"/>
      <c r="C282" s="35"/>
      <c r="G282" s="49"/>
      <c r="H282" s="49"/>
    </row>
    <row r="283" spans="2:8" ht="13.2">
      <c r="B283" s="67"/>
      <c r="C283" s="35"/>
      <c r="G283" s="49"/>
      <c r="H283" s="49"/>
    </row>
    <row r="284" spans="2:8" ht="13.2">
      <c r="B284" s="67"/>
      <c r="C284" s="35"/>
      <c r="G284" s="49"/>
      <c r="H284" s="49"/>
    </row>
    <row r="285" spans="2:8" ht="13.2">
      <c r="B285" s="67"/>
      <c r="C285" s="35"/>
      <c r="G285" s="49"/>
      <c r="H285" s="49"/>
    </row>
    <row r="286" spans="2:8" ht="13.2">
      <c r="B286" s="67"/>
      <c r="C286" s="35"/>
      <c r="G286" s="49"/>
      <c r="H286" s="49"/>
    </row>
    <row r="287" spans="2:8" ht="13.2">
      <c r="B287" s="67"/>
      <c r="C287" s="35"/>
      <c r="G287" s="49"/>
      <c r="H287" s="49"/>
    </row>
    <row r="288" spans="2:8" ht="13.2">
      <c r="B288" s="67"/>
      <c r="C288" s="35"/>
      <c r="G288" s="49"/>
      <c r="H288" s="49"/>
    </row>
    <row r="289" spans="2:8" ht="13.2">
      <c r="B289" s="67"/>
      <c r="C289" s="35"/>
      <c r="G289" s="49"/>
      <c r="H289" s="49"/>
    </row>
    <row r="290" spans="2:8" ht="13.2">
      <c r="B290" s="67"/>
      <c r="C290" s="35"/>
      <c r="G290" s="49"/>
      <c r="H290" s="49"/>
    </row>
    <row r="291" spans="2:8" ht="13.2">
      <c r="B291" s="67"/>
      <c r="C291" s="35"/>
      <c r="G291" s="49"/>
      <c r="H291" s="49"/>
    </row>
    <row r="292" spans="2:8" ht="13.2">
      <c r="B292" s="67"/>
      <c r="C292" s="35"/>
      <c r="G292" s="49"/>
      <c r="H292" s="49"/>
    </row>
    <row r="293" spans="2:8" ht="13.2">
      <c r="B293" s="67"/>
      <c r="C293" s="35"/>
      <c r="G293" s="49"/>
      <c r="H293" s="49"/>
    </row>
    <row r="294" spans="2:8" ht="13.2">
      <c r="B294" s="67"/>
      <c r="C294" s="35"/>
      <c r="G294" s="49"/>
      <c r="H294" s="49"/>
    </row>
    <row r="295" spans="2:8" ht="13.2">
      <c r="B295" s="67"/>
      <c r="C295" s="35"/>
      <c r="G295" s="49"/>
      <c r="H295" s="49"/>
    </row>
    <row r="296" spans="2:8" ht="13.2">
      <c r="B296" s="67"/>
      <c r="C296" s="35"/>
      <c r="G296" s="49"/>
      <c r="H296" s="49"/>
    </row>
    <row r="297" spans="2:8" ht="13.2">
      <c r="B297" s="67"/>
      <c r="C297" s="35"/>
      <c r="G297" s="49"/>
      <c r="H297" s="49"/>
    </row>
    <row r="298" spans="2:8" ht="13.2">
      <c r="B298" s="67"/>
      <c r="C298" s="35"/>
      <c r="G298" s="49"/>
      <c r="H298" s="49"/>
    </row>
    <row r="299" spans="2:8" ht="13.2">
      <c r="B299" s="67"/>
      <c r="C299" s="35"/>
      <c r="G299" s="49"/>
      <c r="H299" s="49"/>
    </row>
    <row r="300" spans="2:8" ht="13.2">
      <c r="B300" s="67"/>
      <c r="C300" s="35"/>
      <c r="G300" s="49"/>
      <c r="H300" s="49"/>
    </row>
    <row r="301" spans="2:8" ht="13.2">
      <c r="B301" s="67"/>
      <c r="C301" s="35"/>
      <c r="G301" s="49"/>
      <c r="H301" s="49"/>
    </row>
    <row r="302" spans="2:8" ht="13.2">
      <c r="B302" s="67"/>
      <c r="C302" s="35"/>
      <c r="G302" s="49"/>
      <c r="H302" s="49"/>
    </row>
    <row r="303" spans="2:8" ht="13.2">
      <c r="B303" s="67"/>
      <c r="C303" s="35"/>
      <c r="G303" s="49"/>
      <c r="H303" s="49"/>
    </row>
    <row r="304" spans="2:8" ht="13.2">
      <c r="B304" s="67"/>
      <c r="C304" s="35"/>
      <c r="G304" s="49"/>
      <c r="H304" s="49"/>
    </row>
    <row r="305" spans="2:8" ht="13.2">
      <c r="B305" s="67"/>
      <c r="C305" s="35"/>
      <c r="G305" s="49"/>
      <c r="H305" s="49"/>
    </row>
    <row r="306" spans="2:8" ht="13.2">
      <c r="B306" s="67"/>
      <c r="C306" s="35"/>
      <c r="G306" s="49"/>
      <c r="H306" s="49"/>
    </row>
    <row r="307" spans="2:8" ht="13.2">
      <c r="B307" s="67"/>
      <c r="C307" s="35"/>
      <c r="G307" s="49"/>
      <c r="H307" s="49"/>
    </row>
    <row r="308" spans="2:8" ht="13.2">
      <c r="B308" s="67"/>
      <c r="C308" s="35"/>
      <c r="G308" s="49"/>
      <c r="H308" s="49"/>
    </row>
    <row r="309" spans="2:8" ht="13.2">
      <c r="B309" s="67"/>
      <c r="C309" s="35"/>
      <c r="G309" s="49"/>
      <c r="H309" s="49"/>
    </row>
    <row r="310" spans="2:8" ht="13.2">
      <c r="B310" s="67"/>
      <c r="C310" s="35"/>
      <c r="G310" s="49"/>
      <c r="H310" s="49"/>
    </row>
    <row r="311" spans="2:8" ht="13.2">
      <c r="B311" s="67"/>
      <c r="C311" s="35"/>
      <c r="G311" s="49"/>
      <c r="H311" s="49"/>
    </row>
    <row r="312" spans="2:8" ht="13.2">
      <c r="B312" s="67"/>
      <c r="C312" s="35"/>
      <c r="G312" s="49"/>
      <c r="H312" s="49"/>
    </row>
    <row r="313" spans="2:8" ht="13.2">
      <c r="B313" s="67"/>
      <c r="C313" s="35"/>
      <c r="G313" s="49"/>
      <c r="H313" s="49"/>
    </row>
    <row r="314" spans="2:8" ht="13.2">
      <c r="B314" s="67"/>
      <c r="C314" s="35"/>
      <c r="G314" s="49"/>
      <c r="H314" s="49"/>
    </row>
    <row r="315" spans="2:8" ht="13.2">
      <c r="B315" s="67"/>
      <c r="C315" s="35"/>
      <c r="G315" s="49"/>
      <c r="H315" s="49"/>
    </row>
    <row r="316" spans="2:8" ht="13.2">
      <c r="B316" s="67"/>
      <c r="C316" s="35"/>
      <c r="G316" s="49"/>
      <c r="H316" s="49"/>
    </row>
    <row r="317" spans="2:8" ht="13.2">
      <c r="B317" s="67"/>
      <c r="C317" s="35"/>
      <c r="G317" s="49"/>
      <c r="H317" s="49"/>
    </row>
    <row r="318" spans="2:8" ht="13.2">
      <c r="B318" s="67"/>
      <c r="C318" s="35"/>
      <c r="G318" s="49"/>
      <c r="H318" s="49"/>
    </row>
    <row r="319" spans="2:8" ht="13.2">
      <c r="B319" s="67"/>
      <c r="C319" s="35"/>
      <c r="G319" s="49"/>
      <c r="H319" s="49"/>
    </row>
    <row r="320" spans="2:8" ht="13.2">
      <c r="B320" s="67"/>
      <c r="C320" s="35"/>
      <c r="G320" s="49"/>
      <c r="H320" s="49"/>
    </row>
    <row r="321" spans="2:8" ht="13.2">
      <c r="B321" s="67"/>
      <c r="C321" s="35"/>
      <c r="G321" s="49"/>
      <c r="H321" s="49"/>
    </row>
    <row r="322" spans="2:8" ht="13.2">
      <c r="B322" s="67"/>
      <c r="C322" s="35"/>
      <c r="G322" s="49"/>
      <c r="H322" s="49"/>
    </row>
    <row r="323" spans="2:8" ht="13.2">
      <c r="B323" s="67"/>
      <c r="C323" s="35"/>
      <c r="G323" s="49"/>
      <c r="H323" s="49"/>
    </row>
    <row r="324" spans="2:8" ht="13.2">
      <c r="B324" s="67"/>
      <c r="C324" s="35"/>
      <c r="G324" s="49"/>
      <c r="H324" s="49"/>
    </row>
    <row r="325" spans="2:8" ht="13.2">
      <c r="B325" s="67"/>
      <c r="C325" s="35"/>
      <c r="G325" s="49"/>
      <c r="H325" s="49"/>
    </row>
    <row r="326" spans="2:8" ht="13.2">
      <c r="B326" s="67"/>
      <c r="C326" s="35"/>
      <c r="G326" s="49"/>
      <c r="H326" s="49"/>
    </row>
    <row r="327" spans="2:8" ht="13.2">
      <c r="B327" s="67"/>
      <c r="C327" s="35"/>
      <c r="G327" s="49"/>
      <c r="H327" s="49"/>
    </row>
    <row r="328" spans="2:8" ht="13.2">
      <c r="B328" s="67"/>
      <c r="C328" s="35"/>
      <c r="G328" s="49"/>
      <c r="H328" s="49"/>
    </row>
    <row r="329" spans="2:8" ht="13.2">
      <c r="B329" s="67"/>
      <c r="C329" s="35"/>
      <c r="G329" s="49"/>
      <c r="H329" s="49"/>
    </row>
    <row r="330" spans="2:8" ht="13.2">
      <c r="B330" s="67"/>
      <c r="C330" s="35"/>
      <c r="G330" s="49"/>
      <c r="H330" s="49"/>
    </row>
    <row r="331" spans="2:8" ht="13.2">
      <c r="B331" s="67"/>
      <c r="C331" s="35"/>
      <c r="G331" s="49"/>
      <c r="H331" s="49"/>
    </row>
    <row r="332" spans="2:8" ht="13.2">
      <c r="B332" s="67"/>
      <c r="C332" s="35"/>
      <c r="G332" s="49"/>
      <c r="H332" s="49"/>
    </row>
    <row r="333" spans="2:8" ht="13.2">
      <c r="B333" s="67"/>
      <c r="C333" s="35"/>
      <c r="G333" s="49"/>
      <c r="H333" s="49"/>
    </row>
    <row r="334" spans="2:8" ht="13.2">
      <c r="B334" s="67"/>
      <c r="C334" s="35"/>
      <c r="G334" s="49"/>
      <c r="H334" s="49"/>
    </row>
    <row r="335" spans="2:8" ht="13.2">
      <c r="B335" s="67"/>
      <c r="C335" s="35"/>
      <c r="G335" s="49"/>
      <c r="H335" s="49"/>
    </row>
    <row r="336" spans="2:8" ht="13.2">
      <c r="B336" s="67"/>
      <c r="C336" s="35"/>
      <c r="G336" s="49"/>
      <c r="H336" s="49"/>
    </row>
    <row r="337" spans="2:8" ht="13.2">
      <c r="B337" s="67"/>
      <c r="C337" s="35"/>
      <c r="G337" s="49"/>
      <c r="H337" s="49"/>
    </row>
    <row r="338" spans="2:8" ht="13.2">
      <c r="B338" s="67"/>
      <c r="C338" s="35"/>
      <c r="G338" s="49"/>
      <c r="H338" s="49"/>
    </row>
    <row r="339" spans="2:8" ht="13.2">
      <c r="B339" s="67"/>
      <c r="C339" s="35"/>
      <c r="G339" s="49"/>
      <c r="H339" s="49"/>
    </row>
    <row r="340" spans="2:8" ht="13.2">
      <c r="B340" s="67"/>
      <c r="C340" s="35"/>
      <c r="G340" s="49"/>
      <c r="H340" s="49"/>
    </row>
    <row r="341" spans="2:8" ht="13.2">
      <c r="B341" s="67"/>
      <c r="C341" s="35"/>
      <c r="G341" s="49"/>
      <c r="H341" s="49"/>
    </row>
    <row r="342" spans="2:8" ht="13.2">
      <c r="B342" s="67"/>
      <c r="C342" s="35"/>
      <c r="G342" s="49"/>
      <c r="H342" s="49"/>
    </row>
    <row r="343" spans="2:8" ht="13.2">
      <c r="B343" s="67"/>
      <c r="C343" s="35"/>
      <c r="G343" s="49"/>
      <c r="H343" s="49"/>
    </row>
    <row r="344" spans="2:8" ht="13.2">
      <c r="B344" s="67"/>
      <c r="C344" s="35"/>
      <c r="G344" s="49"/>
      <c r="H344" s="49"/>
    </row>
    <row r="345" spans="2:8" ht="13.2">
      <c r="B345" s="67"/>
      <c r="C345" s="35"/>
      <c r="G345" s="49"/>
      <c r="H345" s="49"/>
    </row>
    <row r="346" spans="2:8" ht="13.2">
      <c r="B346" s="67"/>
      <c r="C346" s="35"/>
      <c r="G346" s="49"/>
      <c r="H346" s="49"/>
    </row>
    <row r="347" spans="2:8" ht="13.2">
      <c r="B347" s="67"/>
      <c r="C347" s="35"/>
      <c r="G347" s="49"/>
      <c r="H347" s="49"/>
    </row>
    <row r="348" spans="2:8" ht="13.2">
      <c r="B348" s="67"/>
      <c r="C348" s="35"/>
      <c r="G348" s="49"/>
      <c r="H348" s="49"/>
    </row>
    <row r="349" spans="2:8" ht="13.2">
      <c r="B349" s="67"/>
      <c r="C349" s="35"/>
      <c r="G349" s="49"/>
      <c r="H349" s="49"/>
    </row>
    <row r="350" spans="2:8" ht="13.2">
      <c r="B350" s="67"/>
      <c r="C350" s="35"/>
      <c r="G350" s="49"/>
      <c r="H350" s="49"/>
    </row>
    <row r="351" spans="2:8" ht="13.2">
      <c r="B351" s="67"/>
      <c r="C351" s="35"/>
      <c r="G351" s="49"/>
      <c r="H351" s="49"/>
    </row>
    <row r="352" spans="2:8" ht="13.2">
      <c r="B352" s="67"/>
      <c r="C352" s="35"/>
      <c r="G352" s="49"/>
      <c r="H352" s="49"/>
    </row>
    <row r="353" spans="2:8" ht="13.2">
      <c r="B353" s="67"/>
      <c r="C353" s="35"/>
      <c r="G353" s="49"/>
      <c r="H353" s="49"/>
    </row>
    <row r="354" spans="2:8" ht="13.2">
      <c r="B354" s="67"/>
      <c r="C354" s="35"/>
      <c r="G354" s="49"/>
      <c r="H354" s="49"/>
    </row>
    <row r="355" spans="2:8" ht="13.2">
      <c r="B355" s="67"/>
      <c r="C355" s="35"/>
      <c r="G355" s="49"/>
      <c r="H355" s="49"/>
    </row>
    <row r="356" spans="2:8" ht="13.2">
      <c r="B356" s="67"/>
      <c r="C356" s="35"/>
      <c r="G356" s="49"/>
      <c r="H356" s="49"/>
    </row>
    <row r="357" spans="2:8" ht="13.2">
      <c r="B357" s="67"/>
      <c r="C357" s="35"/>
      <c r="G357" s="49"/>
      <c r="H357" s="49"/>
    </row>
    <row r="358" spans="2:8" ht="13.2">
      <c r="B358" s="67"/>
      <c r="C358" s="35"/>
      <c r="G358" s="49"/>
      <c r="H358" s="49"/>
    </row>
    <row r="359" spans="2:8" ht="13.2">
      <c r="B359" s="67"/>
      <c r="C359" s="35"/>
      <c r="G359" s="49"/>
      <c r="H359" s="49"/>
    </row>
    <row r="360" spans="2:8" ht="13.2">
      <c r="B360" s="67"/>
      <c r="C360" s="35"/>
      <c r="G360" s="49"/>
      <c r="H360" s="49"/>
    </row>
    <row r="361" spans="2:8" ht="13.2">
      <c r="B361" s="67"/>
      <c r="C361" s="35"/>
      <c r="G361" s="49"/>
      <c r="H361" s="49"/>
    </row>
    <row r="362" spans="2:8" ht="13.2">
      <c r="B362" s="67"/>
      <c r="C362" s="35"/>
      <c r="G362" s="49"/>
      <c r="H362" s="49"/>
    </row>
    <row r="363" spans="2:8" ht="13.2">
      <c r="B363" s="67"/>
      <c r="C363" s="35"/>
      <c r="G363" s="49"/>
      <c r="H363" s="49"/>
    </row>
    <row r="364" spans="2:8" ht="13.2">
      <c r="B364" s="67"/>
      <c r="C364" s="35"/>
      <c r="G364" s="49"/>
      <c r="H364" s="49"/>
    </row>
    <row r="365" spans="2:8" ht="13.2">
      <c r="B365" s="67"/>
      <c r="C365" s="35"/>
      <c r="G365" s="49"/>
      <c r="H365" s="49"/>
    </row>
    <row r="366" spans="2:8" ht="13.2">
      <c r="B366" s="67"/>
      <c r="C366" s="35"/>
      <c r="G366" s="49"/>
      <c r="H366" s="49"/>
    </row>
    <row r="367" spans="2:8" ht="13.2">
      <c r="B367" s="67"/>
      <c r="C367" s="35"/>
      <c r="G367" s="49"/>
      <c r="H367" s="49"/>
    </row>
    <row r="368" spans="2:8" ht="13.2">
      <c r="B368" s="67"/>
      <c r="C368" s="35"/>
      <c r="G368" s="49"/>
      <c r="H368" s="49"/>
    </row>
    <row r="369" spans="2:8" ht="13.2">
      <c r="B369" s="67"/>
      <c r="C369" s="35"/>
      <c r="G369" s="49"/>
      <c r="H369" s="49"/>
    </row>
    <row r="370" spans="2:8" ht="13.2">
      <c r="B370" s="67"/>
      <c r="C370" s="35"/>
      <c r="G370" s="49"/>
      <c r="H370" s="49"/>
    </row>
    <row r="371" spans="2:8" ht="13.2">
      <c r="B371" s="67"/>
      <c r="C371" s="35"/>
      <c r="G371" s="49"/>
      <c r="H371" s="49"/>
    </row>
    <row r="372" spans="2:8" ht="13.2">
      <c r="B372" s="67"/>
      <c r="C372" s="35"/>
      <c r="G372" s="49"/>
      <c r="H372" s="49"/>
    </row>
    <row r="373" spans="2:8" ht="13.2">
      <c r="B373" s="67"/>
      <c r="C373" s="35"/>
      <c r="G373" s="49"/>
      <c r="H373" s="49"/>
    </row>
    <row r="374" spans="2:8" ht="13.2">
      <c r="B374" s="67"/>
      <c r="C374" s="35"/>
      <c r="G374" s="49"/>
      <c r="H374" s="49"/>
    </row>
    <row r="375" spans="2:8" ht="13.2">
      <c r="B375" s="67"/>
      <c r="C375" s="35"/>
      <c r="G375" s="49"/>
      <c r="H375" s="49"/>
    </row>
    <row r="376" spans="2:8" ht="13.2">
      <c r="B376" s="67"/>
      <c r="C376" s="35"/>
      <c r="G376" s="49"/>
      <c r="H376" s="49"/>
    </row>
    <row r="377" spans="2:8" ht="13.2">
      <c r="B377" s="67"/>
      <c r="C377" s="35"/>
      <c r="G377" s="49"/>
      <c r="H377" s="49"/>
    </row>
    <row r="378" spans="2:8" ht="13.2">
      <c r="B378" s="67"/>
      <c r="C378" s="35"/>
      <c r="G378" s="49"/>
      <c r="H378" s="49"/>
    </row>
    <row r="379" spans="2:8" ht="13.2">
      <c r="B379" s="67"/>
      <c r="C379" s="35"/>
      <c r="G379" s="49"/>
      <c r="H379" s="49"/>
    </row>
    <row r="380" spans="2:8" ht="13.2">
      <c r="B380" s="67"/>
      <c r="C380" s="35"/>
      <c r="G380" s="49"/>
      <c r="H380" s="49"/>
    </row>
    <row r="381" spans="2:8" ht="13.2">
      <c r="B381" s="67"/>
      <c r="C381" s="35"/>
      <c r="G381" s="49"/>
      <c r="H381" s="49"/>
    </row>
    <row r="382" spans="2:8" ht="13.2">
      <c r="B382" s="67"/>
      <c r="C382" s="35"/>
      <c r="G382" s="49"/>
      <c r="H382" s="49"/>
    </row>
    <row r="383" spans="2:8" ht="13.2">
      <c r="B383" s="67"/>
      <c r="C383" s="35"/>
      <c r="G383" s="49"/>
      <c r="H383" s="49"/>
    </row>
    <row r="384" spans="2:8" ht="13.2">
      <c r="B384" s="67"/>
      <c r="C384" s="35"/>
      <c r="G384" s="49"/>
      <c r="H384" s="49"/>
    </row>
    <row r="385" spans="2:8" ht="13.2">
      <c r="B385" s="67"/>
      <c r="C385" s="35"/>
      <c r="G385" s="49"/>
      <c r="H385" s="49"/>
    </row>
    <row r="386" spans="2:8" ht="13.2">
      <c r="B386" s="67"/>
      <c r="C386" s="35"/>
      <c r="G386" s="49"/>
      <c r="H386" s="49"/>
    </row>
    <row r="387" spans="2:8" ht="13.2">
      <c r="B387" s="67"/>
      <c r="C387" s="35"/>
      <c r="G387" s="49"/>
      <c r="H387" s="49"/>
    </row>
    <row r="388" spans="2:8" ht="13.2">
      <c r="B388" s="67"/>
      <c r="C388" s="35"/>
      <c r="G388" s="49"/>
      <c r="H388" s="49"/>
    </row>
    <row r="389" spans="2:8" ht="13.2">
      <c r="B389" s="67"/>
      <c r="C389" s="35"/>
      <c r="G389" s="49"/>
      <c r="H389" s="49"/>
    </row>
    <row r="390" spans="2:8" ht="13.2">
      <c r="B390" s="67"/>
      <c r="C390" s="35"/>
      <c r="G390" s="49"/>
      <c r="H390" s="49"/>
    </row>
    <row r="391" spans="2:8" ht="13.2">
      <c r="B391" s="67"/>
      <c r="C391" s="35"/>
      <c r="G391" s="49"/>
      <c r="H391" s="49"/>
    </row>
    <row r="392" spans="2:8" ht="13.2">
      <c r="B392" s="67"/>
      <c r="C392" s="35"/>
      <c r="G392" s="49"/>
      <c r="H392" s="49"/>
    </row>
    <row r="393" spans="2:8" ht="13.2">
      <c r="B393" s="67"/>
      <c r="C393" s="35"/>
      <c r="G393" s="49"/>
      <c r="H393" s="49"/>
    </row>
    <row r="394" spans="2:8" ht="13.2">
      <c r="B394" s="67"/>
      <c r="C394" s="35"/>
      <c r="G394" s="49"/>
      <c r="H394" s="49"/>
    </row>
    <row r="395" spans="2:8" ht="13.2">
      <c r="B395" s="67"/>
      <c r="C395" s="35"/>
      <c r="G395" s="49"/>
      <c r="H395" s="49"/>
    </row>
    <row r="396" spans="2:8" ht="13.2">
      <c r="B396" s="67"/>
      <c r="C396" s="35"/>
      <c r="G396" s="49"/>
      <c r="H396" s="49"/>
    </row>
    <row r="397" spans="2:8" ht="13.2">
      <c r="B397" s="67"/>
      <c r="C397" s="35"/>
      <c r="G397" s="49"/>
      <c r="H397" s="49"/>
    </row>
    <row r="398" spans="2:8" ht="13.2">
      <c r="B398" s="67"/>
      <c r="C398" s="35"/>
      <c r="G398" s="49"/>
      <c r="H398" s="49"/>
    </row>
    <row r="399" spans="2:8" ht="13.2">
      <c r="B399" s="67"/>
      <c r="C399" s="35"/>
      <c r="G399" s="49"/>
      <c r="H399" s="49"/>
    </row>
    <row r="400" spans="2:8" ht="13.2">
      <c r="B400" s="67"/>
      <c r="C400" s="35"/>
      <c r="G400" s="49"/>
      <c r="H400" s="49"/>
    </row>
    <row r="401" spans="2:8" ht="13.2">
      <c r="B401" s="67"/>
      <c r="C401" s="35"/>
      <c r="G401" s="49"/>
      <c r="H401" s="49"/>
    </row>
    <row r="402" spans="2:8" ht="13.2">
      <c r="B402" s="67"/>
      <c r="C402" s="35"/>
      <c r="G402" s="49"/>
      <c r="H402" s="49"/>
    </row>
    <row r="403" spans="2:8" ht="13.2">
      <c r="B403" s="67"/>
      <c r="C403" s="35"/>
      <c r="G403" s="49"/>
      <c r="H403" s="49"/>
    </row>
    <row r="404" spans="2:8" ht="13.2">
      <c r="B404" s="67"/>
      <c r="C404" s="35"/>
      <c r="G404" s="49"/>
      <c r="H404" s="49"/>
    </row>
    <row r="405" spans="2:8" ht="13.2">
      <c r="B405" s="67"/>
      <c r="C405" s="35"/>
      <c r="G405" s="49"/>
      <c r="H405" s="49"/>
    </row>
    <row r="406" spans="2:8" ht="13.2">
      <c r="B406" s="67"/>
      <c r="C406" s="35"/>
      <c r="G406" s="49"/>
      <c r="H406" s="49"/>
    </row>
    <row r="407" spans="2:8" ht="13.2">
      <c r="B407" s="67"/>
      <c r="C407" s="35"/>
      <c r="G407" s="49"/>
      <c r="H407" s="49"/>
    </row>
    <row r="408" spans="2:8" ht="13.2">
      <c r="B408" s="67"/>
      <c r="C408" s="35"/>
      <c r="G408" s="49"/>
      <c r="H408" s="49"/>
    </row>
    <row r="409" spans="2:8" ht="13.2">
      <c r="B409" s="67"/>
      <c r="C409" s="35"/>
      <c r="G409" s="49"/>
      <c r="H409" s="49"/>
    </row>
    <row r="410" spans="2:8" ht="13.2">
      <c r="B410" s="67"/>
      <c r="C410" s="35"/>
      <c r="G410" s="49"/>
      <c r="H410" s="49"/>
    </row>
    <row r="411" spans="2:8" ht="13.2">
      <c r="B411" s="67"/>
      <c r="C411" s="35"/>
      <c r="G411" s="49"/>
      <c r="H411" s="49"/>
    </row>
    <row r="412" spans="2:8" ht="13.2">
      <c r="B412" s="67"/>
      <c r="C412" s="35"/>
      <c r="G412" s="49"/>
      <c r="H412" s="49"/>
    </row>
    <row r="413" spans="2:8" ht="13.2">
      <c r="B413" s="67"/>
      <c r="C413" s="35"/>
      <c r="G413" s="49"/>
      <c r="H413" s="49"/>
    </row>
    <row r="414" spans="2:8" ht="13.2">
      <c r="B414" s="67"/>
      <c r="C414" s="35"/>
      <c r="G414" s="49"/>
      <c r="H414" s="49"/>
    </row>
    <row r="415" spans="2:8" ht="13.2">
      <c r="B415" s="67"/>
      <c r="C415" s="35"/>
      <c r="G415" s="49"/>
      <c r="H415" s="49"/>
    </row>
    <row r="416" spans="2:8" ht="13.2">
      <c r="B416" s="67"/>
      <c r="C416" s="35"/>
      <c r="G416" s="49"/>
      <c r="H416" s="49"/>
    </row>
    <row r="417" spans="2:8" ht="13.2">
      <c r="B417" s="67"/>
      <c r="C417" s="35"/>
      <c r="G417" s="49"/>
      <c r="H417" s="49"/>
    </row>
    <row r="418" spans="2:8" ht="13.2">
      <c r="B418" s="67"/>
      <c r="C418" s="35"/>
      <c r="G418" s="49"/>
      <c r="H418" s="49"/>
    </row>
    <row r="419" spans="2:8" ht="13.2">
      <c r="B419" s="67"/>
      <c r="C419" s="35"/>
      <c r="G419" s="49"/>
      <c r="H419" s="49"/>
    </row>
    <row r="420" spans="2:8" ht="13.2">
      <c r="B420" s="67"/>
      <c r="C420" s="35"/>
      <c r="G420" s="49"/>
      <c r="H420" s="49"/>
    </row>
    <row r="421" spans="2:8" ht="13.2">
      <c r="B421" s="67"/>
      <c r="C421" s="35"/>
      <c r="G421" s="49"/>
      <c r="H421" s="49"/>
    </row>
    <row r="422" spans="2:8" ht="13.2">
      <c r="B422" s="67"/>
      <c r="C422" s="35"/>
      <c r="G422" s="49"/>
      <c r="H422" s="49"/>
    </row>
    <row r="423" spans="2:8" ht="13.2">
      <c r="B423" s="67"/>
      <c r="C423" s="35"/>
      <c r="G423" s="49"/>
      <c r="H423" s="49"/>
    </row>
    <row r="424" spans="2:8" ht="13.2">
      <c r="B424" s="67"/>
      <c r="C424" s="35"/>
      <c r="G424" s="49"/>
      <c r="H424" s="49"/>
    </row>
    <row r="425" spans="2:8" ht="13.2">
      <c r="B425" s="67"/>
      <c r="C425" s="35"/>
      <c r="G425" s="49"/>
      <c r="H425" s="49"/>
    </row>
    <row r="426" spans="2:8" ht="13.2">
      <c r="B426" s="67"/>
      <c r="C426" s="35"/>
      <c r="G426" s="49"/>
      <c r="H426" s="49"/>
    </row>
    <row r="427" spans="2:8" ht="13.2">
      <c r="B427" s="67"/>
      <c r="C427" s="35"/>
      <c r="G427" s="49"/>
      <c r="H427" s="49"/>
    </row>
    <row r="428" spans="2:8" ht="13.2">
      <c r="B428" s="67"/>
      <c r="C428" s="35"/>
      <c r="G428" s="49"/>
      <c r="H428" s="49"/>
    </row>
    <row r="429" spans="2:8" ht="13.2">
      <c r="B429" s="67"/>
      <c r="C429" s="35"/>
      <c r="G429" s="49"/>
      <c r="H429" s="49"/>
    </row>
    <row r="430" spans="2:8" ht="13.2">
      <c r="B430" s="67"/>
      <c r="C430" s="35"/>
      <c r="G430" s="49"/>
      <c r="H430" s="49"/>
    </row>
    <row r="431" spans="2:8" ht="13.2">
      <c r="B431" s="67"/>
      <c r="C431" s="35"/>
      <c r="G431" s="49"/>
      <c r="H431" s="49"/>
    </row>
    <row r="432" spans="2:8" ht="13.2">
      <c r="B432" s="67"/>
      <c r="C432" s="35"/>
      <c r="G432" s="49"/>
      <c r="H432" s="49"/>
    </row>
    <row r="433" spans="2:8" ht="13.2">
      <c r="B433" s="67"/>
      <c r="C433" s="35"/>
      <c r="G433" s="49"/>
      <c r="H433" s="49"/>
    </row>
    <row r="434" spans="2:8" ht="13.2">
      <c r="B434" s="67"/>
      <c r="C434" s="35"/>
      <c r="G434" s="49"/>
      <c r="H434" s="49"/>
    </row>
    <row r="435" spans="2:8" ht="13.2">
      <c r="B435" s="67"/>
      <c r="C435" s="35"/>
      <c r="G435" s="49"/>
      <c r="H435" s="49"/>
    </row>
    <row r="436" spans="2:8" ht="13.2">
      <c r="B436" s="67"/>
      <c r="C436" s="35"/>
      <c r="G436" s="49"/>
      <c r="H436" s="49"/>
    </row>
    <row r="437" spans="2:8" ht="13.2">
      <c r="B437" s="67"/>
      <c r="C437" s="35"/>
      <c r="G437" s="49"/>
      <c r="H437" s="49"/>
    </row>
    <row r="438" spans="2:8" ht="13.2">
      <c r="B438" s="67"/>
      <c r="C438" s="35"/>
      <c r="G438" s="49"/>
      <c r="H438" s="49"/>
    </row>
    <row r="439" spans="2:8" ht="13.2">
      <c r="B439" s="67"/>
      <c r="C439" s="35"/>
      <c r="G439" s="49"/>
      <c r="H439" s="49"/>
    </row>
    <row r="440" spans="2:8" ht="13.2">
      <c r="B440" s="67"/>
      <c r="C440" s="35"/>
      <c r="G440" s="49"/>
      <c r="H440" s="49"/>
    </row>
    <row r="441" spans="2:8" ht="13.2">
      <c r="B441" s="67"/>
      <c r="C441" s="35"/>
      <c r="G441" s="49"/>
      <c r="H441" s="49"/>
    </row>
    <row r="442" spans="2:8" ht="13.2">
      <c r="B442" s="67"/>
      <c r="C442" s="35"/>
      <c r="G442" s="49"/>
      <c r="H442" s="49"/>
    </row>
    <row r="443" spans="2:8" ht="13.2">
      <c r="B443" s="67"/>
      <c r="C443" s="35"/>
      <c r="G443" s="49"/>
      <c r="H443" s="49"/>
    </row>
    <row r="444" spans="2:8" ht="13.2">
      <c r="B444" s="67"/>
      <c r="C444" s="35"/>
      <c r="G444" s="49"/>
      <c r="H444" s="49"/>
    </row>
    <row r="445" spans="2:8" ht="13.2">
      <c r="B445" s="67"/>
      <c r="C445" s="35"/>
      <c r="G445" s="49"/>
      <c r="H445" s="49"/>
    </row>
    <row r="446" spans="2:8" ht="13.2">
      <c r="B446" s="67"/>
      <c r="C446" s="35"/>
      <c r="G446" s="49"/>
      <c r="H446" s="49"/>
    </row>
    <row r="447" spans="2:8" ht="13.2">
      <c r="B447" s="67"/>
      <c r="C447" s="35"/>
      <c r="G447" s="49"/>
      <c r="H447" s="49"/>
    </row>
    <row r="448" spans="2:8" ht="13.2">
      <c r="B448" s="67"/>
      <c r="C448" s="35"/>
      <c r="G448" s="49"/>
      <c r="H448" s="49"/>
    </row>
    <row r="449" spans="2:8" ht="13.2">
      <c r="B449" s="67"/>
      <c r="C449" s="35"/>
      <c r="G449" s="49"/>
      <c r="H449" s="49"/>
    </row>
    <row r="450" spans="2:8" ht="13.2">
      <c r="B450" s="67"/>
      <c r="C450" s="35"/>
      <c r="G450" s="49"/>
      <c r="H450" s="49"/>
    </row>
    <row r="451" spans="2:8" ht="13.2">
      <c r="B451" s="67"/>
      <c r="C451" s="35"/>
      <c r="G451" s="49"/>
      <c r="H451" s="49"/>
    </row>
    <row r="452" spans="2:8" ht="13.2">
      <c r="B452" s="67"/>
      <c r="C452" s="35"/>
      <c r="G452" s="49"/>
      <c r="H452" s="49"/>
    </row>
    <row r="453" spans="2:8" ht="13.2">
      <c r="B453" s="67"/>
      <c r="C453" s="35"/>
      <c r="G453" s="49"/>
      <c r="H453" s="49"/>
    </row>
    <row r="454" spans="2:8" ht="13.2">
      <c r="B454" s="67"/>
      <c r="C454" s="35"/>
      <c r="G454" s="49"/>
      <c r="H454" s="49"/>
    </row>
    <row r="455" spans="2:8" ht="13.2">
      <c r="B455" s="67"/>
      <c r="C455" s="35"/>
      <c r="G455" s="49"/>
      <c r="H455" s="49"/>
    </row>
    <row r="456" spans="2:8" ht="13.2">
      <c r="B456" s="67"/>
      <c r="C456" s="35"/>
      <c r="G456" s="49"/>
      <c r="H456" s="49"/>
    </row>
    <row r="457" spans="2:8" ht="13.2">
      <c r="B457" s="67"/>
      <c r="C457" s="35"/>
      <c r="G457" s="49"/>
      <c r="H457" s="49"/>
    </row>
    <row r="458" spans="2:8" ht="13.2">
      <c r="B458" s="67"/>
      <c r="C458" s="35"/>
      <c r="G458" s="49"/>
      <c r="H458" s="49"/>
    </row>
    <row r="459" spans="2:8" ht="13.2">
      <c r="B459" s="67"/>
      <c r="C459" s="35"/>
      <c r="G459" s="49"/>
      <c r="H459" s="49"/>
    </row>
    <row r="460" spans="2:8" ht="13.2">
      <c r="B460" s="67"/>
      <c r="C460" s="35"/>
      <c r="G460" s="49"/>
      <c r="H460" s="49"/>
    </row>
    <row r="461" spans="2:8" ht="13.2">
      <c r="B461" s="67"/>
      <c r="C461" s="35"/>
      <c r="G461" s="49"/>
      <c r="H461" s="49"/>
    </row>
    <row r="462" spans="2:8" ht="13.2">
      <c r="B462" s="67"/>
      <c r="C462" s="35"/>
      <c r="G462" s="49"/>
      <c r="H462" s="49"/>
    </row>
    <row r="463" spans="2:8" ht="13.2">
      <c r="B463" s="67"/>
      <c r="C463" s="35"/>
      <c r="G463" s="49"/>
      <c r="H463" s="49"/>
    </row>
    <row r="464" spans="2:8" ht="13.2">
      <c r="B464" s="67"/>
      <c r="C464" s="35"/>
      <c r="G464" s="49"/>
      <c r="H464" s="49"/>
    </row>
    <row r="465" spans="2:8" ht="13.2">
      <c r="B465" s="67"/>
      <c r="C465" s="35"/>
      <c r="G465" s="49"/>
      <c r="H465" s="49"/>
    </row>
    <row r="466" spans="2:8" ht="13.2">
      <c r="B466" s="67"/>
      <c r="C466" s="35"/>
      <c r="G466" s="49"/>
      <c r="H466" s="49"/>
    </row>
    <row r="467" spans="2:8" ht="13.2">
      <c r="B467" s="67"/>
      <c r="C467" s="35"/>
      <c r="G467" s="49"/>
      <c r="H467" s="49"/>
    </row>
    <row r="468" spans="2:8" ht="13.2">
      <c r="B468" s="67"/>
      <c r="C468" s="35"/>
      <c r="G468" s="49"/>
      <c r="H468" s="49"/>
    </row>
    <row r="469" spans="2:8" ht="13.2">
      <c r="B469" s="67"/>
      <c r="C469" s="35"/>
      <c r="G469" s="49"/>
      <c r="H469" s="49"/>
    </row>
    <row r="470" spans="2:8" ht="13.2">
      <c r="B470" s="67"/>
      <c r="C470" s="35"/>
      <c r="G470" s="49"/>
      <c r="H470" s="49"/>
    </row>
    <row r="471" spans="2:8" ht="13.2">
      <c r="B471" s="67"/>
      <c r="C471" s="35"/>
      <c r="G471" s="49"/>
      <c r="H471" s="49"/>
    </row>
    <row r="472" spans="2:8" ht="13.2">
      <c r="B472" s="67"/>
      <c r="C472" s="35"/>
      <c r="G472" s="49"/>
      <c r="H472" s="49"/>
    </row>
    <row r="473" spans="2:8" ht="13.2">
      <c r="B473" s="67"/>
      <c r="C473" s="35"/>
      <c r="G473" s="49"/>
      <c r="H473" s="49"/>
    </row>
    <row r="474" spans="2:8" ht="13.2">
      <c r="B474" s="67"/>
      <c r="C474" s="35"/>
      <c r="G474" s="49"/>
      <c r="H474" s="49"/>
    </row>
    <row r="475" spans="2:8" ht="13.2">
      <c r="B475" s="67"/>
      <c r="C475" s="35"/>
      <c r="G475" s="49"/>
      <c r="H475" s="49"/>
    </row>
    <row r="476" spans="2:8" ht="13.2">
      <c r="B476" s="67"/>
      <c r="C476" s="35"/>
      <c r="G476" s="49"/>
      <c r="H476" s="49"/>
    </row>
    <row r="477" spans="2:8" ht="13.2">
      <c r="B477" s="67"/>
      <c r="C477" s="35"/>
      <c r="G477" s="49"/>
      <c r="H477" s="49"/>
    </row>
    <row r="478" spans="2:8" ht="13.2">
      <c r="B478" s="67"/>
      <c r="C478" s="35"/>
      <c r="G478" s="49"/>
      <c r="H478" s="49"/>
    </row>
    <row r="479" spans="2:8" ht="13.2">
      <c r="B479" s="67"/>
      <c r="C479" s="35"/>
      <c r="G479" s="49"/>
      <c r="H479" s="49"/>
    </row>
    <row r="480" spans="2:8" ht="13.2">
      <c r="B480" s="67"/>
      <c r="C480" s="35"/>
      <c r="G480" s="49"/>
      <c r="H480" s="49"/>
    </row>
    <row r="481" spans="2:8" ht="13.2">
      <c r="B481" s="67"/>
      <c r="C481" s="35"/>
      <c r="G481" s="49"/>
      <c r="H481" s="49"/>
    </row>
    <row r="482" spans="2:8" ht="13.2">
      <c r="B482" s="67"/>
      <c r="C482" s="35"/>
      <c r="G482" s="49"/>
      <c r="H482" s="49"/>
    </row>
    <row r="483" spans="2:8" ht="13.2">
      <c r="B483" s="67"/>
      <c r="C483" s="35"/>
      <c r="G483" s="49"/>
      <c r="H483" s="49"/>
    </row>
    <row r="484" spans="2:8" ht="13.2">
      <c r="B484" s="67"/>
      <c r="C484" s="35"/>
      <c r="G484" s="49"/>
      <c r="H484" s="49"/>
    </row>
    <row r="485" spans="2:8" ht="13.2">
      <c r="B485" s="67"/>
      <c r="C485" s="35"/>
      <c r="G485" s="49"/>
      <c r="H485" s="49"/>
    </row>
    <row r="486" spans="2:8" ht="13.2">
      <c r="B486" s="67"/>
      <c r="C486" s="35"/>
      <c r="G486" s="49"/>
      <c r="H486" s="49"/>
    </row>
    <row r="487" spans="2:8" ht="13.2">
      <c r="B487" s="67"/>
      <c r="C487" s="35"/>
      <c r="G487" s="49"/>
      <c r="H487" s="49"/>
    </row>
    <row r="488" spans="2:8" ht="13.2">
      <c r="B488" s="67"/>
      <c r="C488" s="35"/>
      <c r="G488" s="49"/>
      <c r="H488" s="49"/>
    </row>
    <row r="489" spans="2:8" ht="13.2">
      <c r="B489" s="67"/>
      <c r="C489" s="35"/>
      <c r="G489" s="49"/>
      <c r="H489" s="49"/>
    </row>
    <row r="490" spans="2:8" ht="13.2">
      <c r="B490" s="67"/>
      <c r="C490" s="35"/>
      <c r="G490" s="49"/>
      <c r="H490" s="49"/>
    </row>
    <row r="491" spans="2:8" ht="13.2">
      <c r="B491" s="67"/>
      <c r="C491" s="35"/>
      <c r="G491" s="49"/>
      <c r="H491" s="49"/>
    </row>
    <row r="492" spans="2:8" ht="13.2">
      <c r="B492" s="67"/>
      <c r="C492" s="35"/>
      <c r="G492" s="49"/>
      <c r="H492" s="49"/>
    </row>
    <row r="493" spans="2:8" ht="13.2">
      <c r="B493" s="67"/>
      <c r="C493" s="35"/>
      <c r="G493" s="49"/>
      <c r="H493" s="49"/>
    </row>
    <row r="494" spans="2:8" ht="13.2">
      <c r="B494" s="67"/>
      <c r="C494" s="35"/>
      <c r="G494" s="49"/>
      <c r="H494" s="49"/>
    </row>
    <row r="495" spans="2:8" ht="13.2">
      <c r="B495" s="67"/>
      <c r="C495" s="35"/>
      <c r="G495" s="49"/>
      <c r="H495" s="49"/>
    </row>
    <row r="496" spans="2:8" ht="13.2">
      <c r="B496" s="67"/>
      <c r="C496" s="35"/>
      <c r="G496" s="49"/>
      <c r="H496" s="49"/>
    </row>
    <row r="497" spans="2:8" ht="13.2">
      <c r="B497" s="67"/>
      <c r="C497" s="35"/>
      <c r="G497" s="49"/>
      <c r="H497" s="49"/>
    </row>
    <row r="498" spans="2:8" ht="13.2">
      <c r="B498" s="67"/>
      <c r="C498" s="35"/>
      <c r="G498" s="49"/>
      <c r="H498" s="49"/>
    </row>
    <row r="499" spans="2:8" ht="13.2">
      <c r="B499" s="67"/>
      <c r="C499" s="35"/>
      <c r="G499" s="49"/>
      <c r="H499" s="49"/>
    </row>
    <row r="500" spans="2:8" ht="13.2">
      <c r="B500" s="67"/>
      <c r="C500" s="35"/>
      <c r="G500" s="49"/>
      <c r="H500" s="49"/>
    </row>
    <row r="501" spans="2:8" ht="13.2">
      <c r="B501" s="67"/>
      <c r="C501" s="35"/>
      <c r="G501" s="49"/>
      <c r="H501" s="49"/>
    </row>
    <row r="502" spans="2:8" ht="13.2">
      <c r="B502" s="67"/>
      <c r="C502" s="35"/>
      <c r="G502" s="49"/>
      <c r="H502" s="49"/>
    </row>
    <row r="503" spans="2:8" ht="13.2">
      <c r="B503" s="67"/>
      <c r="C503" s="35"/>
      <c r="G503" s="49"/>
      <c r="H503" s="49"/>
    </row>
    <row r="504" spans="2:8" ht="13.2">
      <c r="B504" s="67"/>
      <c r="C504" s="35"/>
      <c r="G504" s="49"/>
      <c r="H504" s="49"/>
    </row>
    <row r="505" spans="2:8" ht="13.2">
      <c r="B505" s="67"/>
      <c r="C505" s="35"/>
      <c r="G505" s="49"/>
      <c r="H505" s="49"/>
    </row>
    <row r="506" spans="2:8" ht="13.2">
      <c r="B506" s="67"/>
      <c r="C506" s="35"/>
      <c r="G506" s="49"/>
      <c r="H506" s="49"/>
    </row>
    <row r="507" spans="2:8" ht="13.2">
      <c r="B507" s="67"/>
      <c r="C507" s="35"/>
      <c r="G507" s="49"/>
      <c r="H507" s="49"/>
    </row>
    <row r="508" spans="2:8" ht="13.2">
      <c r="B508" s="67"/>
      <c r="C508" s="35"/>
      <c r="G508" s="49"/>
      <c r="H508" s="49"/>
    </row>
    <row r="509" spans="2:8" ht="13.2">
      <c r="B509" s="67"/>
      <c r="C509" s="35"/>
      <c r="G509" s="49"/>
      <c r="H509" s="49"/>
    </row>
    <row r="510" spans="2:8" ht="13.2">
      <c r="B510" s="67"/>
      <c r="C510" s="35"/>
      <c r="G510" s="49"/>
      <c r="H510" s="49"/>
    </row>
    <row r="511" spans="2:8" ht="13.2">
      <c r="B511" s="67"/>
      <c r="C511" s="35"/>
      <c r="G511" s="49"/>
      <c r="H511" s="49"/>
    </row>
    <row r="512" spans="2:8" ht="13.2">
      <c r="B512" s="67"/>
      <c r="C512" s="35"/>
      <c r="G512" s="49"/>
      <c r="H512" s="49"/>
    </row>
    <row r="513" spans="2:8" ht="13.2">
      <c r="B513" s="67"/>
      <c r="C513" s="35"/>
      <c r="G513" s="49"/>
      <c r="H513" s="49"/>
    </row>
    <row r="514" spans="2:8" ht="13.2">
      <c r="B514" s="67"/>
      <c r="C514" s="35"/>
      <c r="G514" s="49"/>
      <c r="H514" s="49"/>
    </row>
    <row r="515" spans="2:8" ht="13.2">
      <c r="B515" s="67"/>
      <c r="C515" s="35"/>
      <c r="G515" s="49"/>
      <c r="H515" s="49"/>
    </row>
    <row r="516" spans="2:8" ht="13.2">
      <c r="B516" s="67"/>
      <c r="C516" s="35"/>
      <c r="G516" s="49"/>
      <c r="H516" s="49"/>
    </row>
    <row r="517" spans="2:8" ht="13.2">
      <c r="B517" s="67"/>
      <c r="C517" s="35"/>
      <c r="G517" s="49"/>
      <c r="H517" s="49"/>
    </row>
    <row r="518" spans="2:8" ht="13.2">
      <c r="B518" s="67"/>
      <c r="C518" s="35"/>
      <c r="G518" s="49"/>
      <c r="H518" s="49"/>
    </row>
    <row r="519" spans="2:8" ht="13.2">
      <c r="B519" s="67"/>
      <c r="C519" s="35"/>
      <c r="G519" s="49"/>
      <c r="H519" s="49"/>
    </row>
    <row r="520" spans="2:8" ht="13.2">
      <c r="B520" s="67"/>
      <c r="C520" s="35"/>
      <c r="G520" s="49"/>
      <c r="H520" s="49"/>
    </row>
    <row r="521" spans="2:8" ht="13.2">
      <c r="B521" s="67"/>
      <c r="C521" s="35"/>
      <c r="G521" s="49"/>
      <c r="H521" s="49"/>
    </row>
    <row r="522" spans="2:8" ht="13.2">
      <c r="B522" s="67"/>
      <c r="C522" s="35"/>
      <c r="G522" s="49"/>
      <c r="H522" s="49"/>
    </row>
    <row r="523" spans="2:8" ht="13.2">
      <c r="B523" s="67"/>
      <c r="C523" s="35"/>
      <c r="G523" s="49"/>
      <c r="H523" s="49"/>
    </row>
    <row r="524" spans="2:8" ht="13.2">
      <c r="B524" s="67"/>
      <c r="C524" s="35"/>
      <c r="G524" s="49"/>
      <c r="H524" s="49"/>
    </row>
    <row r="525" spans="2:8" ht="13.2">
      <c r="B525" s="67"/>
      <c r="C525" s="35"/>
      <c r="G525" s="49"/>
      <c r="H525" s="49"/>
    </row>
    <row r="526" spans="2:8" ht="13.2">
      <c r="B526" s="67"/>
      <c r="C526" s="35"/>
      <c r="G526" s="49"/>
      <c r="H526" s="49"/>
    </row>
    <row r="527" spans="2:8" ht="13.2">
      <c r="B527" s="67"/>
      <c r="C527" s="35"/>
      <c r="G527" s="49"/>
      <c r="H527" s="49"/>
    </row>
    <row r="528" spans="2:8" ht="13.2">
      <c r="B528" s="67"/>
      <c r="C528" s="35"/>
      <c r="G528" s="49"/>
      <c r="H528" s="49"/>
    </row>
    <row r="529" spans="2:8" ht="13.2">
      <c r="B529" s="67"/>
      <c r="C529" s="35"/>
      <c r="G529" s="49"/>
      <c r="H529" s="49"/>
    </row>
    <row r="530" spans="2:8" ht="13.2">
      <c r="B530" s="67"/>
      <c r="C530" s="35"/>
      <c r="G530" s="49"/>
      <c r="H530" s="49"/>
    </row>
    <row r="531" spans="2:8" ht="13.2">
      <c r="B531" s="67"/>
      <c r="C531" s="35"/>
      <c r="G531" s="49"/>
      <c r="H531" s="49"/>
    </row>
    <row r="532" spans="2:8" ht="13.2">
      <c r="B532" s="67"/>
      <c r="C532" s="35"/>
      <c r="G532" s="49"/>
      <c r="H532" s="49"/>
    </row>
    <row r="533" spans="2:8" ht="13.2">
      <c r="B533" s="67"/>
      <c r="C533" s="35"/>
      <c r="G533" s="49"/>
      <c r="H533" s="49"/>
    </row>
    <row r="534" spans="2:8" ht="13.2">
      <c r="B534" s="67"/>
      <c r="C534" s="35"/>
      <c r="G534" s="49"/>
      <c r="H534" s="49"/>
    </row>
    <row r="535" spans="2:8" ht="13.2">
      <c r="B535" s="67"/>
      <c r="C535" s="35"/>
      <c r="G535" s="49"/>
      <c r="H535" s="49"/>
    </row>
    <row r="536" spans="2:8" ht="13.2">
      <c r="B536" s="67"/>
      <c r="C536" s="35"/>
      <c r="G536" s="49"/>
      <c r="H536" s="49"/>
    </row>
    <row r="537" spans="2:8" ht="13.2">
      <c r="B537" s="67"/>
      <c r="C537" s="35"/>
      <c r="G537" s="49"/>
      <c r="H537" s="49"/>
    </row>
    <row r="538" spans="2:8" ht="13.2">
      <c r="B538" s="67"/>
      <c r="C538" s="35"/>
      <c r="G538" s="49"/>
      <c r="H538" s="49"/>
    </row>
    <row r="539" spans="2:8" ht="13.2">
      <c r="B539" s="67"/>
      <c r="C539" s="35"/>
      <c r="G539" s="49"/>
      <c r="H539" s="49"/>
    </row>
    <row r="540" spans="2:8" ht="13.2">
      <c r="B540" s="67"/>
      <c r="C540" s="35"/>
      <c r="G540" s="49"/>
      <c r="H540" s="49"/>
    </row>
    <row r="541" spans="2:8" ht="13.2">
      <c r="B541" s="67"/>
      <c r="C541" s="35"/>
      <c r="G541" s="49"/>
      <c r="H541" s="49"/>
    </row>
    <row r="542" spans="2:8" ht="13.2">
      <c r="B542" s="67"/>
      <c r="C542" s="35"/>
      <c r="G542" s="49"/>
      <c r="H542" s="49"/>
    </row>
    <row r="543" spans="2:8" ht="13.2">
      <c r="B543" s="67"/>
      <c r="C543" s="35"/>
      <c r="G543" s="49"/>
      <c r="H543" s="49"/>
    </row>
    <row r="544" spans="2:8" ht="13.2">
      <c r="B544" s="67"/>
      <c r="C544" s="35"/>
      <c r="G544" s="49"/>
      <c r="H544" s="49"/>
    </row>
    <row r="545" spans="2:8" ht="13.2">
      <c r="B545" s="67"/>
      <c r="C545" s="35"/>
      <c r="G545" s="49"/>
      <c r="H545" s="49"/>
    </row>
    <row r="546" spans="2:8" ht="13.2">
      <c r="B546" s="67"/>
      <c r="C546" s="35"/>
      <c r="G546" s="49"/>
      <c r="H546" s="49"/>
    </row>
    <row r="547" spans="2:8" ht="13.2">
      <c r="B547" s="67"/>
      <c r="C547" s="35"/>
      <c r="G547" s="49"/>
      <c r="H547" s="49"/>
    </row>
    <row r="548" spans="2:8" ht="13.2">
      <c r="B548" s="67"/>
      <c r="C548" s="35"/>
      <c r="G548" s="49"/>
      <c r="H548" s="49"/>
    </row>
    <row r="549" spans="2:8" ht="13.2">
      <c r="B549" s="67"/>
      <c r="C549" s="35"/>
      <c r="G549" s="49"/>
      <c r="H549" s="49"/>
    </row>
    <row r="550" spans="2:8" ht="13.2">
      <c r="B550" s="67"/>
      <c r="C550" s="35"/>
      <c r="G550" s="49"/>
      <c r="H550" s="49"/>
    </row>
    <row r="551" spans="2:8" ht="13.2">
      <c r="B551" s="67"/>
      <c r="C551" s="35"/>
      <c r="G551" s="49"/>
      <c r="H551" s="49"/>
    </row>
    <row r="552" spans="2:8" ht="13.2">
      <c r="B552" s="67"/>
      <c r="C552" s="35"/>
      <c r="G552" s="49"/>
      <c r="H552" s="49"/>
    </row>
    <row r="553" spans="2:8" ht="13.2">
      <c r="B553" s="67"/>
      <c r="C553" s="35"/>
      <c r="G553" s="49"/>
      <c r="H553" s="49"/>
    </row>
    <row r="554" spans="2:8" ht="13.2">
      <c r="B554" s="67"/>
      <c r="C554" s="35"/>
      <c r="G554" s="49"/>
      <c r="H554" s="49"/>
    </row>
    <row r="555" spans="2:8" ht="13.2">
      <c r="B555" s="67"/>
      <c r="C555" s="35"/>
      <c r="G555" s="49"/>
      <c r="H555" s="49"/>
    </row>
    <row r="556" spans="2:8" ht="13.2">
      <c r="B556" s="67"/>
      <c r="C556" s="35"/>
      <c r="G556" s="49"/>
      <c r="H556" s="49"/>
    </row>
    <row r="557" spans="2:8" ht="13.2">
      <c r="B557" s="67"/>
      <c r="C557" s="35"/>
      <c r="G557" s="49"/>
      <c r="H557" s="49"/>
    </row>
    <row r="558" spans="2:8" ht="13.2">
      <c r="B558" s="67"/>
      <c r="C558" s="35"/>
      <c r="G558" s="49"/>
      <c r="H558" s="49"/>
    </row>
    <row r="559" spans="2:8" ht="13.2">
      <c r="B559" s="67"/>
      <c r="C559" s="35"/>
      <c r="G559" s="49"/>
      <c r="H559" s="49"/>
    </row>
    <row r="560" spans="2:8" ht="13.2">
      <c r="B560" s="67"/>
      <c r="C560" s="35"/>
      <c r="G560" s="49"/>
      <c r="H560" s="49"/>
    </row>
    <row r="561" spans="2:8" ht="13.2">
      <c r="B561" s="67"/>
      <c r="C561" s="35"/>
      <c r="G561" s="49"/>
      <c r="H561" s="49"/>
    </row>
    <row r="562" spans="2:8" ht="13.2">
      <c r="B562" s="67"/>
      <c r="C562" s="35"/>
      <c r="G562" s="49"/>
      <c r="H562" s="49"/>
    </row>
    <row r="563" spans="2:8" ht="13.2">
      <c r="B563" s="67"/>
      <c r="C563" s="35"/>
      <c r="G563" s="49"/>
      <c r="H563" s="49"/>
    </row>
    <row r="564" spans="2:8" ht="13.2">
      <c r="B564" s="67"/>
      <c r="C564" s="35"/>
      <c r="G564" s="49"/>
      <c r="H564" s="49"/>
    </row>
    <row r="565" spans="2:8" ht="13.2">
      <c r="B565" s="67"/>
      <c r="C565" s="35"/>
      <c r="G565" s="49"/>
      <c r="H565" s="49"/>
    </row>
    <row r="566" spans="2:8" ht="13.2">
      <c r="B566" s="67"/>
      <c r="C566" s="35"/>
      <c r="G566" s="49"/>
      <c r="H566" s="49"/>
    </row>
    <row r="567" spans="2:8" ht="13.2">
      <c r="B567" s="67"/>
      <c r="C567" s="35"/>
      <c r="G567" s="49"/>
      <c r="H567" s="49"/>
    </row>
    <row r="568" spans="2:8" ht="13.2">
      <c r="B568" s="67"/>
      <c r="C568" s="35"/>
      <c r="G568" s="49"/>
      <c r="H568" s="49"/>
    </row>
    <row r="569" spans="2:8" ht="13.2">
      <c r="B569" s="67"/>
      <c r="C569" s="35"/>
      <c r="G569" s="49"/>
      <c r="H569" s="49"/>
    </row>
    <row r="570" spans="2:8" ht="13.2">
      <c r="B570" s="67"/>
      <c r="C570" s="35"/>
      <c r="G570" s="49"/>
      <c r="H570" s="49"/>
    </row>
    <row r="571" spans="2:8" ht="13.2">
      <c r="B571" s="67"/>
      <c r="C571" s="35"/>
      <c r="G571" s="49"/>
      <c r="H571" s="49"/>
    </row>
    <row r="572" spans="2:8" ht="13.2">
      <c r="B572" s="67"/>
      <c r="C572" s="35"/>
      <c r="G572" s="49"/>
      <c r="H572" s="49"/>
    </row>
    <row r="573" spans="2:8" ht="13.2">
      <c r="B573" s="67"/>
      <c r="C573" s="35"/>
      <c r="G573" s="49"/>
      <c r="H573" s="49"/>
    </row>
    <row r="574" spans="2:8" ht="13.2">
      <c r="B574" s="67"/>
      <c r="C574" s="35"/>
      <c r="G574" s="49"/>
      <c r="H574" s="49"/>
    </row>
    <row r="575" spans="2:8" ht="13.2">
      <c r="B575" s="67"/>
      <c r="C575" s="35"/>
      <c r="G575" s="49"/>
      <c r="H575" s="49"/>
    </row>
    <row r="576" spans="2:8" ht="13.2">
      <c r="B576" s="67"/>
      <c r="C576" s="35"/>
      <c r="G576" s="49"/>
      <c r="H576" s="49"/>
    </row>
    <row r="577" spans="2:8" ht="13.2">
      <c r="B577" s="67"/>
      <c r="C577" s="35"/>
      <c r="G577" s="49"/>
      <c r="H577" s="49"/>
    </row>
    <row r="578" spans="2:8" ht="13.2">
      <c r="B578" s="67"/>
      <c r="C578" s="35"/>
      <c r="G578" s="49"/>
      <c r="H578" s="49"/>
    </row>
    <row r="579" spans="2:8" ht="13.2">
      <c r="B579" s="67"/>
      <c r="C579" s="35"/>
      <c r="G579" s="49"/>
      <c r="H579" s="49"/>
    </row>
    <row r="580" spans="2:8" ht="13.2">
      <c r="B580" s="67"/>
      <c r="C580" s="35"/>
      <c r="G580" s="49"/>
      <c r="H580" s="49"/>
    </row>
    <row r="581" spans="2:8" ht="13.2">
      <c r="B581" s="67"/>
      <c r="C581" s="35"/>
      <c r="G581" s="49"/>
      <c r="H581" s="49"/>
    </row>
    <row r="582" spans="2:8" ht="13.2">
      <c r="B582" s="67"/>
      <c r="C582" s="35"/>
      <c r="G582" s="49"/>
      <c r="H582" s="49"/>
    </row>
    <row r="583" spans="2:8" ht="13.2">
      <c r="B583" s="67"/>
      <c r="C583" s="35"/>
      <c r="G583" s="49"/>
      <c r="H583" s="49"/>
    </row>
    <row r="584" spans="2:8" ht="13.2">
      <c r="B584" s="67"/>
      <c r="C584" s="35"/>
      <c r="G584" s="49"/>
      <c r="H584" s="49"/>
    </row>
    <row r="585" spans="2:8" ht="13.2">
      <c r="B585" s="67"/>
      <c r="C585" s="35"/>
      <c r="G585" s="49"/>
      <c r="H585" s="49"/>
    </row>
    <row r="586" spans="2:8" ht="13.2">
      <c r="B586" s="67"/>
      <c r="C586" s="35"/>
      <c r="G586" s="49"/>
      <c r="H586" s="49"/>
    </row>
    <row r="587" spans="2:8" ht="13.2">
      <c r="B587" s="67"/>
      <c r="C587" s="35"/>
      <c r="G587" s="49"/>
      <c r="H587" s="49"/>
    </row>
    <row r="588" spans="2:8" ht="13.2">
      <c r="B588" s="67"/>
      <c r="C588" s="35"/>
      <c r="G588" s="49"/>
      <c r="H588" s="49"/>
    </row>
    <row r="589" spans="2:8" ht="13.2">
      <c r="B589" s="67"/>
      <c r="C589" s="35"/>
      <c r="G589" s="49"/>
      <c r="H589" s="49"/>
    </row>
    <row r="590" spans="2:8" ht="13.2">
      <c r="B590" s="67"/>
      <c r="C590" s="35"/>
      <c r="G590" s="49"/>
      <c r="H590" s="49"/>
    </row>
    <row r="591" spans="2:8" ht="13.2">
      <c r="B591" s="67"/>
      <c r="C591" s="35"/>
      <c r="G591" s="49"/>
      <c r="H591" s="49"/>
    </row>
    <row r="592" spans="2:8" ht="13.2">
      <c r="B592" s="67"/>
      <c r="C592" s="35"/>
      <c r="G592" s="49"/>
      <c r="H592" s="49"/>
    </row>
    <row r="593" spans="2:8" ht="13.2">
      <c r="B593" s="67"/>
      <c r="C593" s="35"/>
      <c r="G593" s="49"/>
      <c r="H593" s="49"/>
    </row>
    <row r="594" spans="2:8" ht="13.2">
      <c r="B594" s="67"/>
      <c r="C594" s="35"/>
      <c r="G594" s="49"/>
      <c r="H594" s="49"/>
    </row>
    <row r="595" spans="2:8" ht="13.2">
      <c r="B595" s="67"/>
      <c r="C595" s="35"/>
      <c r="G595" s="49"/>
      <c r="H595" s="49"/>
    </row>
    <row r="596" spans="2:8" ht="13.2">
      <c r="B596" s="67"/>
      <c r="C596" s="35"/>
      <c r="G596" s="49"/>
      <c r="H596" s="49"/>
    </row>
    <row r="597" spans="2:8" ht="13.2">
      <c r="B597" s="67"/>
      <c r="C597" s="35"/>
      <c r="G597" s="49"/>
      <c r="H597" s="49"/>
    </row>
    <row r="598" spans="2:8" ht="13.2">
      <c r="B598" s="67"/>
      <c r="C598" s="35"/>
      <c r="G598" s="49"/>
      <c r="H598" s="49"/>
    </row>
    <row r="599" spans="2:8" ht="13.2">
      <c r="B599" s="67"/>
      <c r="C599" s="35"/>
      <c r="G599" s="49"/>
      <c r="H599" s="49"/>
    </row>
    <row r="600" spans="2:8" ht="13.2">
      <c r="B600" s="67"/>
      <c r="C600" s="35"/>
      <c r="G600" s="49"/>
      <c r="H600" s="49"/>
    </row>
    <row r="601" spans="2:8" ht="13.2">
      <c r="B601" s="67"/>
      <c r="C601" s="35"/>
      <c r="G601" s="49"/>
      <c r="H601" s="49"/>
    </row>
    <row r="602" spans="2:8" ht="13.2">
      <c r="B602" s="67"/>
      <c r="C602" s="35"/>
      <c r="G602" s="49"/>
      <c r="H602" s="49"/>
    </row>
    <row r="603" spans="2:8" ht="13.2">
      <c r="B603" s="67"/>
      <c r="C603" s="35"/>
      <c r="G603" s="49"/>
      <c r="H603" s="49"/>
    </row>
    <row r="604" spans="2:8" ht="13.2">
      <c r="B604" s="67"/>
      <c r="C604" s="35"/>
      <c r="G604" s="49"/>
      <c r="H604" s="49"/>
    </row>
    <row r="605" spans="2:8" ht="13.2">
      <c r="B605" s="67"/>
      <c r="C605" s="35"/>
      <c r="G605" s="49"/>
      <c r="H605" s="49"/>
    </row>
    <row r="606" spans="2:8" ht="13.2">
      <c r="B606" s="67"/>
      <c r="C606" s="35"/>
      <c r="G606" s="49"/>
      <c r="H606" s="49"/>
    </row>
    <row r="607" spans="2:8" ht="13.2">
      <c r="B607" s="67"/>
      <c r="C607" s="35"/>
      <c r="G607" s="49"/>
      <c r="H607" s="49"/>
    </row>
    <row r="608" spans="2:8" ht="13.2">
      <c r="B608" s="67"/>
      <c r="C608" s="35"/>
      <c r="G608" s="49"/>
      <c r="H608" s="49"/>
    </row>
    <row r="609" spans="2:8" ht="13.2">
      <c r="B609" s="67"/>
      <c r="C609" s="35"/>
      <c r="G609" s="49"/>
      <c r="H609" s="49"/>
    </row>
    <row r="610" spans="2:8" ht="13.2">
      <c r="B610" s="67"/>
      <c r="C610" s="35"/>
      <c r="G610" s="49"/>
      <c r="H610" s="49"/>
    </row>
    <row r="611" spans="2:8" ht="13.2">
      <c r="B611" s="67"/>
      <c r="C611" s="35"/>
      <c r="G611" s="49"/>
      <c r="H611" s="49"/>
    </row>
    <row r="612" spans="2:8" ht="13.2">
      <c r="B612" s="67"/>
      <c r="C612" s="35"/>
      <c r="G612" s="49"/>
      <c r="H612" s="49"/>
    </row>
    <row r="613" spans="2:8" ht="13.2">
      <c r="B613" s="67"/>
      <c r="C613" s="35"/>
      <c r="G613" s="49"/>
      <c r="H613" s="49"/>
    </row>
    <row r="614" spans="2:8" ht="13.2">
      <c r="B614" s="67"/>
      <c r="C614" s="35"/>
      <c r="G614" s="49"/>
      <c r="H614" s="49"/>
    </row>
    <row r="615" spans="2:8" ht="13.2">
      <c r="B615" s="67"/>
      <c r="C615" s="35"/>
      <c r="G615" s="49"/>
      <c r="H615" s="49"/>
    </row>
    <row r="616" spans="2:8" ht="13.2">
      <c r="B616" s="67"/>
      <c r="C616" s="35"/>
      <c r="G616" s="49"/>
      <c r="H616" s="49"/>
    </row>
    <row r="617" spans="2:8" ht="13.2">
      <c r="B617" s="67"/>
      <c r="C617" s="35"/>
      <c r="G617" s="49"/>
      <c r="H617" s="49"/>
    </row>
    <row r="618" spans="2:8" ht="13.2">
      <c r="B618" s="67"/>
      <c r="C618" s="35"/>
      <c r="G618" s="49"/>
      <c r="H618" s="49"/>
    </row>
    <row r="619" spans="2:8" ht="13.2">
      <c r="B619" s="67"/>
      <c r="C619" s="35"/>
      <c r="G619" s="49"/>
      <c r="H619" s="49"/>
    </row>
    <row r="620" spans="2:8" ht="13.2">
      <c r="B620" s="67"/>
      <c r="C620" s="35"/>
      <c r="G620" s="49"/>
      <c r="H620" s="49"/>
    </row>
    <row r="621" spans="2:8" ht="13.2">
      <c r="B621" s="67"/>
      <c r="C621" s="35"/>
      <c r="G621" s="49"/>
      <c r="H621" s="49"/>
    </row>
    <row r="622" spans="2:8" ht="13.2">
      <c r="B622" s="67"/>
      <c r="C622" s="35"/>
      <c r="G622" s="49"/>
      <c r="H622" s="49"/>
    </row>
    <row r="623" spans="2:8" ht="13.2">
      <c r="B623" s="67"/>
      <c r="C623" s="35"/>
      <c r="G623" s="49"/>
      <c r="H623" s="49"/>
    </row>
    <row r="624" spans="2:8" ht="13.2">
      <c r="B624" s="67"/>
      <c r="C624" s="35"/>
      <c r="G624" s="49"/>
      <c r="H624" s="49"/>
    </row>
    <row r="625" spans="2:8" ht="13.2">
      <c r="B625" s="67"/>
      <c r="C625" s="35"/>
      <c r="G625" s="49"/>
      <c r="H625" s="49"/>
    </row>
    <row r="626" spans="2:8" ht="13.2">
      <c r="B626" s="67"/>
      <c r="C626" s="35"/>
      <c r="G626" s="49"/>
      <c r="H626" s="49"/>
    </row>
    <row r="627" spans="2:8" ht="13.2">
      <c r="B627" s="67"/>
      <c r="C627" s="35"/>
      <c r="G627" s="49"/>
      <c r="H627" s="49"/>
    </row>
    <row r="628" spans="2:8" ht="13.2">
      <c r="B628" s="67"/>
      <c r="C628" s="35"/>
      <c r="G628" s="49"/>
      <c r="H628" s="49"/>
    </row>
    <row r="629" spans="2:8" ht="13.2">
      <c r="B629" s="67"/>
      <c r="C629" s="35"/>
      <c r="G629" s="49"/>
      <c r="H629" s="49"/>
    </row>
    <row r="630" spans="2:8" ht="13.2">
      <c r="B630" s="67"/>
      <c r="C630" s="35"/>
      <c r="G630" s="49"/>
      <c r="H630" s="49"/>
    </row>
    <row r="631" spans="2:8" ht="13.2">
      <c r="B631" s="67"/>
      <c r="C631" s="35"/>
      <c r="G631" s="49"/>
      <c r="H631" s="49"/>
    </row>
    <row r="632" spans="2:8" ht="13.2">
      <c r="B632" s="67"/>
      <c r="C632" s="35"/>
      <c r="G632" s="49"/>
      <c r="H632" s="49"/>
    </row>
    <row r="633" spans="2:8" ht="13.2">
      <c r="B633" s="67"/>
      <c r="C633" s="35"/>
      <c r="G633" s="49"/>
      <c r="H633" s="49"/>
    </row>
    <row r="634" spans="2:8" ht="13.2">
      <c r="B634" s="67"/>
      <c r="C634" s="35"/>
      <c r="G634" s="49"/>
      <c r="H634" s="49"/>
    </row>
    <row r="635" spans="2:8" ht="13.2">
      <c r="B635" s="67"/>
      <c r="C635" s="35"/>
      <c r="G635" s="49"/>
      <c r="H635" s="49"/>
    </row>
    <row r="636" spans="2:8" ht="13.2">
      <c r="B636" s="67"/>
      <c r="C636" s="35"/>
      <c r="G636" s="49"/>
      <c r="H636" s="49"/>
    </row>
    <row r="637" spans="2:8" ht="13.2">
      <c r="B637" s="67"/>
      <c r="C637" s="35"/>
      <c r="G637" s="49"/>
      <c r="H637" s="49"/>
    </row>
    <row r="638" spans="2:8" ht="13.2">
      <c r="B638" s="67"/>
      <c r="C638" s="35"/>
      <c r="G638" s="49"/>
      <c r="H638" s="49"/>
    </row>
    <row r="639" spans="2:8" ht="13.2">
      <c r="B639" s="67"/>
      <c r="C639" s="35"/>
      <c r="G639" s="49"/>
      <c r="H639" s="49"/>
    </row>
    <row r="640" spans="2:8" ht="13.2">
      <c r="B640" s="67"/>
      <c r="C640" s="35"/>
      <c r="G640" s="49"/>
      <c r="H640" s="49"/>
    </row>
    <row r="641" spans="2:8" ht="13.2">
      <c r="B641" s="67"/>
      <c r="C641" s="35"/>
      <c r="G641" s="49"/>
      <c r="H641" s="49"/>
    </row>
    <row r="642" spans="2:8" ht="13.2">
      <c r="B642" s="67"/>
      <c r="C642" s="35"/>
      <c r="G642" s="49"/>
      <c r="H642" s="49"/>
    </row>
    <row r="643" spans="2:8" ht="13.2">
      <c r="B643" s="67"/>
      <c r="C643" s="35"/>
      <c r="G643" s="49"/>
      <c r="H643" s="49"/>
    </row>
    <row r="644" spans="2:8" ht="13.2">
      <c r="B644" s="67"/>
      <c r="C644" s="35"/>
      <c r="G644" s="49"/>
      <c r="H644" s="49"/>
    </row>
    <row r="645" spans="2:8" ht="13.2">
      <c r="B645" s="67"/>
      <c r="C645" s="35"/>
      <c r="G645" s="49"/>
      <c r="H645" s="49"/>
    </row>
    <row r="646" spans="2:8" ht="13.2">
      <c r="B646" s="67"/>
      <c r="C646" s="35"/>
      <c r="G646" s="49"/>
      <c r="H646" s="49"/>
    </row>
    <row r="647" spans="2:8" ht="13.2">
      <c r="B647" s="67"/>
      <c r="C647" s="35"/>
      <c r="G647" s="49"/>
      <c r="H647" s="49"/>
    </row>
    <row r="648" spans="2:8" ht="13.2">
      <c r="B648" s="67"/>
      <c r="C648" s="35"/>
      <c r="G648" s="49"/>
      <c r="H648" s="49"/>
    </row>
    <row r="649" spans="2:8" ht="13.2">
      <c r="B649" s="67"/>
      <c r="C649" s="35"/>
      <c r="G649" s="49"/>
      <c r="H649" s="49"/>
    </row>
    <row r="650" spans="2:8" ht="13.2">
      <c r="B650" s="67"/>
      <c r="C650" s="35"/>
      <c r="G650" s="49"/>
      <c r="H650" s="49"/>
    </row>
    <row r="651" spans="2:8" ht="13.2">
      <c r="B651" s="67"/>
      <c r="C651" s="35"/>
      <c r="G651" s="49"/>
      <c r="H651" s="49"/>
    </row>
    <row r="652" spans="2:8" ht="13.2">
      <c r="B652" s="67"/>
      <c r="C652" s="35"/>
      <c r="G652" s="49"/>
      <c r="H652" s="49"/>
    </row>
    <row r="653" spans="2:8" ht="13.2">
      <c r="B653" s="67"/>
      <c r="C653" s="35"/>
      <c r="G653" s="49"/>
      <c r="H653" s="49"/>
    </row>
    <row r="654" spans="2:8" ht="13.2">
      <c r="B654" s="67"/>
      <c r="C654" s="35"/>
      <c r="G654" s="49"/>
      <c r="H654" s="49"/>
    </row>
    <row r="655" spans="2:8" ht="13.2">
      <c r="B655" s="67"/>
      <c r="C655" s="35"/>
      <c r="G655" s="49"/>
      <c r="H655" s="49"/>
    </row>
    <row r="656" spans="2:8" ht="13.2">
      <c r="B656" s="67"/>
      <c r="C656" s="35"/>
      <c r="G656" s="49"/>
      <c r="H656" s="49"/>
    </row>
    <row r="657" spans="2:8" ht="13.2">
      <c r="B657" s="67"/>
      <c r="C657" s="35"/>
      <c r="G657" s="49"/>
      <c r="H657" s="49"/>
    </row>
    <row r="658" spans="2:8" ht="13.2">
      <c r="B658" s="67"/>
      <c r="C658" s="35"/>
      <c r="G658" s="49"/>
      <c r="H658" s="49"/>
    </row>
    <row r="659" spans="2:8" ht="13.2">
      <c r="B659" s="67"/>
      <c r="C659" s="35"/>
      <c r="G659" s="49"/>
      <c r="H659" s="49"/>
    </row>
    <row r="660" spans="2:8" ht="13.2">
      <c r="B660" s="67"/>
      <c r="C660" s="35"/>
      <c r="G660" s="49"/>
      <c r="H660" s="49"/>
    </row>
    <row r="661" spans="2:8" ht="13.2">
      <c r="B661" s="67"/>
      <c r="C661" s="35"/>
      <c r="G661" s="49"/>
      <c r="H661" s="49"/>
    </row>
    <row r="662" spans="2:8" ht="13.2">
      <c r="B662" s="67"/>
      <c r="C662" s="35"/>
      <c r="G662" s="49"/>
      <c r="H662" s="49"/>
    </row>
    <row r="663" spans="2:8" ht="13.2">
      <c r="B663" s="67"/>
      <c r="C663" s="35"/>
      <c r="G663" s="49"/>
      <c r="H663" s="49"/>
    </row>
    <row r="664" spans="2:8" ht="13.2">
      <c r="B664" s="67"/>
      <c r="C664" s="35"/>
      <c r="G664" s="49"/>
      <c r="H664" s="49"/>
    </row>
    <row r="665" spans="2:8" ht="13.2">
      <c r="B665" s="67"/>
      <c r="C665" s="35"/>
      <c r="G665" s="49"/>
      <c r="H665" s="49"/>
    </row>
    <row r="666" spans="2:8" ht="13.2">
      <c r="B666" s="67"/>
      <c r="C666" s="35"/>
      <c r="G666" s="49"/>
      <c r="H666" s="49"/>
    </row>
    <row r="667" spans="2:8" ht="13.2">
      <c r="B667" s="67"/>
      <c r="C667" s="35"/>
      <c r="G667" s="49"/>
      <c r="H667" s="49"/>
    </row>
    <row r="668" spans="2:8" ht="13.2">
      <c r="B668" s="67"/>
      <c r="C668" s="35"/>
      <c r="G668" s="49"/>
      <c r="H668" s="49"/>
    </row>
    <row r="669" spans="2:8" ht="13.2">
      <c r="B669" s="67"/>
      <c r="C669" s="35"/>
      <c r="G669" s="49"/>
      <c r="H669" s="49"/>
    </row>
    <row r="670" spans="2:8" ht="13.2">
      <c r="B670" s="67"/>
      <c r="C670" s="35"/>
      <c r="G670" s="49"/>
      <c r="H670" s="49"/>
    </row>
    <row r="671" spans="2:8" ht="13.2">
      <c r="B671" s="67"/>
      <c r="C671" s="35"/>
      <c r="G671" s="49"/>
      <c r="H671" s="49"/>
    </row>
    <row r="672" spans="2:8" ht="13.2">
      <c r="B672" s="67"/>
      <c r="C672" s="35"/>
      <c r="G672" s="49"/>
      <c r="H672" s="49"/>
    </row>
    <row r="673" spans="2:8" ht="13.2">
      <c r="B673" s="67"/>
      <c r="C673" s="35"/>
      <c r="G673" s="49"/>
      <c r="H673" s="49"/>
    </row>
    <row r="674" spans="2:8" ht="13.2">
      <c r="B674" s="67"/>
      <c r="C674" s="35"/>
      <c r="G674" s="49"/>
      <c r="H674" s="49"/>
    </row>
    <row r="675" spans="2:8" ht="13.2">
      <c r="B675" s="67"/>
      <c r="C675" s="35"/>
      <c r="G675" s="49"/>
      <c r="H675" s="49"/>
    </row>
    <row r="676" spans="2:8" ht="13.2">
      <c r="B676" s="67"/>
      <c r="C676" s="35"/>
      <c r="G676" s="49"/>
      <c r="H676" s="49"/>
    </row>
    <row r="677" spans="2:8" ht="13.2">
      <c r="B677" s="67"/>
      <c r="C677" s="35"/>
      <c r="G677" s="49"/>
      <c r="H677" s="49"/>
    </row>
    <row r="678" spans="2:8" ht="13.2">
      <c r="B678" s="67"/>
      <c r="C678" s="35"/>
      <c r="G678" s="49"/>
      <c r="H678" s="49"/>
    </row>
    <row r="679" spans="2:8" ht="13.2">
      <c r="B679" s="67"/>
      <c r="C679" s="35"/>
      <c r="G679" s="49"/>
      <c r="H679" s="49"/>
    </row>
    <row r="680" spans="2:8" ht="13.2">
      <c r="B680" s="67"/>
      <c r="C680" s="35"/>
      <c r="G680" s="49"/>
      <c r="H680" s="49"/>
    </row>
    <row r="681" spans="2:8" ht="13.2">
      <c r="B681" s="67"/>
      <c r="C681" s="35"/>
      <c r="G681" s="49"/>
      <c r="H681" s="49"/>
    </row>
    <row r="682" spans="2:8" ht="13.2">
      <c r="B682" s="67"/>
      <c r="C682" s="35"/>
      <c r="G682" s="49"/>
      <c r="H682" s="49"/>
    </row>
    <row r="683" spans="2:8" ht="13.2">
      <c r="B683" s="67"/>
      <c r="C683" s="35"/>
      <c r="G683" s="49"/>
      <c r="H683" s="49"/>
    </row>
    <row r="684" spans="2:8" ht="13.2">
      <c r="B684" s="67"/>
      <c r="C684" s="35"/>
      <c r="G684" s="49"/>
      <c r="H684" s="49"/>
    </row>
    <row r="685" spans="2:8" ht="13.2">
      <c r="B685" s="67"/>
      <c r="C685" s="35"/>
      <c r="G685" s="49"/>
      <c r="H685" s="49"/>
    </row>
    <row r="686" spans="2:8" ht="13.2">
      <c r="B686" s="67"/>
      <c r="C686" s="35"/>
      <c r="G686" s="49"/>
      <c r="H686" s="49"/>
    </row>
    <row r="687" spans="2:8" ht="13.2">
      <c r="B687" s="67"/>
      <c r="C687" s="35"/>
      <c r="G687" s="49"/>
      <c r="H687" s="49"/>
    </row>
    <row r="688" spans="2:8" ht="13.2">
      <c r="B688" s="67"/>
      <c r="C688" s="35"/>
      <c r="G688" s="49"/>
      <c r="H688" s="49"/>
    </row>
    <row r="689" spans="2:8" ht="13.2">
      <c r="B689" s="67"/>
      <c r="C689" s="35"/>
      <c r="G689" s="49"/>
      <c r="H689" s="49"/>
    </row>
    <row r="690" spans="2:8" ht="13.2">
      <c r="B690" s="67"/>
      <c r="C690" s="35"/>
      <c r="G690" s="49"/>
      <c r="H690" s="49"/>
    </row>
    <row r="691" spans="2:8" ht="13.2">
      <c r="B691" s="67"/>
      <c r="C691" s="35"/>
      <c r="G691" s="49"/>
      <c r="H691" s="49"/>
    </row>
    <row r="692" spans="2:8" ht="13.2">
      <c r="B692" s="67"/>
      <c r="C692" s="35"/>
      <c r="G692" s="49"/>
      <c r="H692" s="49"/>
    </row>
    <row r="693" spans="2:8" ht="13.2">
      <c r="B693" s="67"/>
      <c r="C693" s="35"/>
      <c r="G693" s="49"/>
      <c r="H693" s="49"/>
    </row>
    <row r="694" spans="2:8" ht="13.2">
      <c r="B694" s="67"/>
      <c r="C694" s="35"/>
      <c r="G694" s="49"/>
      <c r="H694" s="49"/>
    </row>
    <row r="695" spans="2:8" ht="13.2">
      <c r="B695" s="67"/>
      <c r="C695" s="35"/>
      <c r="G695" s="49"/>
      <c r="H695" s="49"/>
    </row>
    <row r="696" spans="2:8" ht="13.2">
      <c r="B696" s="67"/>
      <c r="C696" s="35"/>
      <c r="G696" s="49"/>
      <c r="H696" s="49"/>
    </row>
    <row r="697" spans="2:8" ht="13.2">
      <c r="B697" s="67"/>
      <c r="C697" s="35"/>
      <c r="G697" s="49"/>
      <c r="H697" s="49"/>
    </row>
    <row r="698" spans="2:8" ht="13.2">
      <c r="B698" s="67"/>
      <c r="C698" s="35"/>
      <c r="G698" s="49"/>
      <c r="H698" s="49"/>
    </row>
    <row r="699" spans="2:8" ht="13.2">
      <c r="B699" s="67"/>
      <c r="C699" s="35"/>
      <c r="G699" s="49"/>
      <c r="H699" s="49"/>
    </row>
    <row r="700" spans="2:8" ht="13.2">
      <c r="B700" s="67"/>
      <c r="C700" s="35"/>
      <c r="G700" s="49"/>
      <c r="H700" s="49"/>
    </row>
    <row r="701" spans="2:8" ht="13.2">
      <c r="B701" s="67"/>
      <c r="C701" s="35"/>
      <c r="G701" s="49"/>
      <c r="H701" s="49"/>
    </row>
    <row r="702" spans="2:8" ht="13.2">
      <c r="B702" s="67"/>
      <c r="C702" s="35"/>
      <c r="G702" s="49"/>
      <c r="H702" s="49"/>
    </row>
    <row r="703" spans="2:8" ht="13.2">
      <c r="B703" s="67"/>
      <c r="C703" s="35"/>
      <c r="G703" s="49"/>
      <c r="H703" s="49"/>
    </row>
    <row r="704" spans="2:8" ht="13.2">
      <c r="B704" s="67"/>
      <c r="C704" s="35"/>
      <c r="G704" s="49"/>
      <c r="H704" s="49"/>
    </row>
    <row r="705" spans="2:8" ht="13.2">
      <c r="B705" s="67"/>
      <c r="C705" s="35"/>
      <c r="G705" s="49"/>
      <c r="H705" s="49"/>
    </row>
    <row r="706" spans="2:8" ht="13.2">
      <c r="B706" s="67"/>
      <c r="C706" s="35"/>
      <c r="G706" s="49"/>
      <c r="H706" s="49"/>
    </row>
    <row r="707" spans="2:8" ht="13.2">
      <c r="B707" s="67"/>
      <c r="C707" s="35"/>
      <c r="G707" s="49"/>
      <c r="H707" s="49"/>
    </row>
    <row r="708" spans="2:8" ht="13.2">
      <c r="B708" s="67"/>
      <c r="C708" s="35"/>
      <c r="G708" s="49"/>
      <c r="H708" s="49"/>
    </row>
    <row r="709" spans="2:8" ht="13.2">
      <c r="B709" s="67"/>
      <c r="C709" s="35"/>
      <c r="G709" s="49"/>
      <c r="H709" s="49"/>
    </row>
    <row r="710" spans="2:8" ht="13.2">
      <c r="B710" s="67"/>
      <c r="C710" s="35"/>
      <c r="G710" s="49"/>
      <c r="H710" s="49"/>
    </row>
    <row r="711" spans="2:8" ht="13.2">
      <c r="B711" s="67"/>
      <c r="C711" s="35"/>
      <c r="G711" s="49"/>
      <c r="H711" s="49"/>
    </row>
    <row r="712" spans="2:8" ht="13.2">
      <c r="B712" s="67"/>
      <c r="C712" s="35"/>
      <c r="G712" s="49"/>
      <c r="H712" s="49"/>
    </row>
    <row r="713" spans="2:8" ht="13.2">
      <c r="B713" s="67"/>
      <c r="C713" s="35"/>
      <c r="G713" s="49"/>
      <c r="H713" s="49"/>
    </row>
    <row r="714" spans="2:8" ht="13.2">
      <c r="B714" s="67"/>
      <c r="C714" s="35"/>
      <c r="G714" s="49"/>
      <c r="H714" s="49"/>
    </row>
    <row r="715" spans="2:8" ht="13.2">
      <c r="B715" s="67"/>
      <c r="C715" s="35"/>
      <c r="G715" s="49"/>
      <c r="H715" s="49"/>
    </row>
    <row r="716" spans="2:8" ht="13.2">
      <c r="B716" s="67"/>
      <c r="C716" s="35"/>
      <c r="G716" s="49"/>
      <c r="H716" s="49"/>
    </row>
    <row r="717" spans="2:8" ht="13.2">
      <c r="B717" s="67"/>
      <c r="C717" s="35"/>
      <c r="G717" s="49"/>
      <c r="H717" s="49"/>
    </row>
    <row r="718" spans="2:8" ht="13.2">
      <c r="B718" s="67"/>
      <c r="C718" s="35"/>
      <c r="G718" s="49"/>
      <c r="H718" s="49"/>
    </row>
    <row r="719" spans="2:8" ht="13.2">
      <c r="B719" s="67"/>
      <c r="C719" s="35"/>
      <c r="G719" s="49"/>
      <c r="H719" s="49"/>
    </row>
    <row r="720" spans="2:8" ht="13.2">
      <c r="B720" s="67"/>
      <c r="C720" s="35"/>
      <c r="G720" s="49"/>
      <c r="H720" s="49"/>
    </row>
    <row r="721" spans="2:8" ht="13.2">
      <c r="B721" s="67"/>
      <c r="C721" s="35"/>
      <c r="G721" s="49"/>
      <c r="H721" s="49"/>
    </row>
    <row r="722" spans="2:8" ht="13.2">
      <c r="B722" s="67"/>
      <c r="C722" s="35"/>
      <c r="G722" s="49"/>
      <c r="H722" s="49"/>
    </row>
    <row r="723" spans="2:8" ht="13.2">
      <c r="B723" s="67"/>
      <c r="C723" s="35"/>
      <c r="G723" s="49"/>
      <c r="H723" s="49"/>
    </row>
    <row r="724" spans="2:8" ht="13.2">
      <c r="B724" s="67"/>
      <c r="C724" s="35"/>
      <c r="G724" s="49"/>
      <c r="H724" s="49"/>
    </row>
    <row r="725" spans="2:8" ht="13.2">
      <c r="B725" s="67"/>
      <c r="C725" s="35"/>
      <c r="G725" s="49"/>
      <c r="H725" s="49"/>
    </row>
    <row r="726" spans="2:8" ht="13.2">
      <c r="B726" s="67"/>
      <c r="C726" s="35"/>
      <c r="G726" s="49"/>
      <c r="H726" s="49"/>
    </row>
    <row r="727" spans="2:8" ht="13.2">
      <c r="B727" s="67"/>
      <c r="C727" s="35"/>
      <c r="G727" s="49"/>
      <c r="H727" s="49"/>
    </row>
    <row r="728" spans="2:8" ht="13.2">
      <c r="B728" s="67"/>
      <c r="C728" s="35"/>
      <c r="G728" s="49"/>
      <c r="H728" s="49"/>
    </row>
    <row r="729" spans="2:8" ht="13.2">
      <c r="B729" s="67"/>
      <c r="C729" s="35"/>
      <c r="G729" s="49"/>
      <c r="H729" s="49"/>
    </row>
    <row r="730" spans="2:8" ht="13.2">
      <c r="B730" s="67"/>
      <c r="C730" s="35"/>
      <c r="G730" s="49"/>
      <c r="H730" s="49"/>
    </row>
    <row r="731" spans="2:8" ht="13.2">
      <c r="B731" s="67"/>
      <c r="C731" s="35"/>
      <c r="G731" s="49"/>
      <c r="H731" s="49"/>
    </row>
    <row r="732" spans="2:8" ht="13.2">
      <c r="B732" s="67"/>
      <c r="C732" s="35"/>
      <c r="G732" s="49"/>
      <c r="H732" s="49"/>
    </row>
    <row r="733" spans="2:8" ht="13.2">
      <c r="B733" s="67"/>
      <c r="C733" s="35"/>
      <c r="G733" s="49"/>
      <c r="H733" s="49"/>
    </row>
    <row r="734" spans="2:8" ht="13.2">
      <c r="B734" s="67"/>
      <c r="C734" s="35"/>
      <c r="G734" s="49"/>
      <c r="H734" s="49"/>
    </row>
    <row r="735" spans="2:8" ht="13.2">
      <c r="B735" s="67"/>
      <c r="C735" s="35"/>
      <c r="G735" s="49"/>
      <c r="H735" s="49"/>
    </row>
    <row r="736" spans="2:8" ht="13.2">
      <c r="B736" s="67"/>
      <c r="C736" s="35"/>
      <c r="G736" s="49"/>
      <c r="H736" s="49"/>
    </row>
    <row r="737" spans="2:8" ht="13.2">
      <c r="B737" s="67"/>
      <c r="C737" s="35"/>
      <c r="G737" s="49"/>
      <c r="H737" s="49"/>
    </row>
    <row r="738" spans="2:8" ht="13.2">
      <c r="B738" s="67"/>
      <c r="C738" s="35"/>
      <c r="G738" s="49"/>
      <c r="H738" s="49"/>
    </row>
    <row r="739" spans="2:8" ht="13.2">
      <c r="B739" s="67"/>
      <c r="C739" s="35"/>
      <c r="G739" s="49"/>
      <c r="H739" s="49"/>
    </row>
    <row r="740" spans="2:8" ht="13.2">
      <c r="B740" s="67"/>
      <c r="C740" s="35"/>
      <c r="G740" s="49"/>
      <c r="H740" s="49"/>
    </row>
    <row r="741" spans="2:8" ht="13.2">
      <c r="B741" s="67"/>
      <c r="C741" s="35"/>
      <c r="G741" s="49"/>
      <c r="H741" s="49"/>
    </row>
    <row r="742" spans="2:8" ht="13.2">
      <c r="B742" s="67"/>
      <c r="C742" s="35"/>
      <c r="G742" s="49"/>
      <c r="H742" s="49"/>
    </row>
    <row r="743" spans="2:8" ht="13.2">
      <c r="B743" s="67"/>
      <c r="C743" s="35"/>
      <c r="G743" s="49"/>
      <c r="H743" s="49"/>
    </row>
    <row r="744" spans="2:8" ht="13.2">
      <c r="B744" s="67"/>
      <c r="C744" s="35"/>
      <c r="G744" s="49"/>
      <c r="H744" s="49"/>
    </row>
    <row r="745" spans="2:8" ht="13.2">
      <c r="B745" s="67"/>
      <c r="C745" s="35"/>
      <c r="G745" s="49"/>
      <c r="H745" s="49"/>
    </row>
    <row r="746" spans="2:8" ht="13.2">
      <c r="B746" s="67"/>
      <c r="C746" s="35"/>
      <c r="G746" s="49"/>
      <c r="H746" s="49"/>
    </row>
    <row r="747" spans="2:8" ht="13.2">
      <c r="B747" s="67"/>
      <c r="C747" s="35"/>
      <c r="G747" s="49"/>
      <c r="H747" s="49"/>
    </row>
    <row r="748" spans="2:8" ht="13.2">
      <c r="B748" s="67"/>
      <c r="C748" s="35"/>
      <c r="G748" s="49"/>
      <c r="H748" s="49"/>
    </row>
    <row r="749" spans="2:8" ht="13.2">
      <c r="B749" s="67"/>
      <c r="C749" s="35"/>
      <c r="G749" s="49"/>
      <c r="H749" s="49"/>
    </row>
    <row r="750" spans="2:8" ht="13.2">
      <c r="B750" s="67"/>
      <c r="C750" s="35"/>
      <c r="G750" s="49"/>
      <c r="H750" s="49"/>
    </row>
    <row r="751" spans="2:8" ht="13.2">
      <c r="B751" s="67"/>
      <c r="C751" s="35"/>
      <c r="G751" s="49"/>
      <c r="H751" s="49"/>
    </row>
    <row r="752" spans="2:8" ht="13.2">
      <c r="B752" s="67"/>
      <c r="C752" s="35"/>
      <c r="G752" s="49"/>
      <c r="H752" s="49"/>
    </row>
    <row r="753" spans="2:8" ht="13.2">
      <c r="B753" s="67"/>
      <c r="C753" s="35"/>
      <c r="G753" s="49"/>
      <c r="H753" s="49"/>
    </row>
    <row r="754" spans="2:8" ht="13.2">
      <c r="B754" s="67"/>
      <c r="C754" s="35"/>
      <c r="G754" s="49"/>
      <c r="H754" s="49"/>
    </row>
    <row r="755" spans="2:8" ht="13.2">
      <c r="B755" s="67"/>
      <c r="C755" s="35"/>
      <c r="G755" s="49"/>
      <c r="H755" s="49"/>
    </row>
    <row r="756" spans="2:8" ht="13.2">
      <c r="B756" s="67"/>
      <c r="C756" s="35"/>
      <c r="G756" s="49"/>
      <c r="H756" s="49"/>
    </row>
    <row r="757" spans="2:8" ht="13.2">
      <c r="B757" s="67"/>
      <c r="C757" s="35"/>
      <c r="G757" s="49"/>
      <c r="H757" s="49"/>
    </row>
    <row r="758" spans="2:8" ht="13.2">
      <c r="B758" s="67"/>
      <c r="C758" s="35"/>
      <c r="G758" s="49"/>
      <c r="H758" s="49"/>
    </row>
    <row r="759" spans="2:8" ht="13.2">
      <c r="B759" s="67"/>
      <c r="C759" s="35"/>
      <c r="G759" s="49"/>
      <c r="H759" s="49"/>
    </row>
    <row r="760" spans="2:8" ht="13.2">
      <c r="B760" s="67"/>
      <c r="C760" s="35"/>
      <c r="G760" s="49"/>
      <c r="H760" s="49"/>
    </row>
    <row r="761" spans="2:8" ht="13.2">
      <c r="B761" s="67"/>
      <c r="C761" s="35"/>
      <c r="G761" s="49"/>
      <c r="H761" s="49"/>
    </row>
    <row r="762" spans="2:8" ht="13.2">
      <c r="B762" s="67"/>
      <c r="C762" s="35"/>
      <c r="G762" s="49"/>
      <c r="H762" s="49"/>
    </row>
    <row r="763" spans="2:8" ht="13.2">
      <c r="B763" s="67"/>
      <c r="C763" s="35"/>
      <c r="G763" s="49"/>
      <c r="H763" s="49"/>
    </row>
    <row r="764" spans="2:8" ht="13.2">
      <c r="B764" s="67"/>
      <c r="C764" s="35"/>
      <c r="G764" s="49"/>
      <c r="H764" s="49"/>
    </row>
    <row r="765" spans="2:8" ht="13.2">
      <c r="B765" s="67"/>
      <c r="C765" s="35"/>
      <c r="G765" s="49"/>
      <c r="H765" s="49"/>
    </row>
    <row r="766" spans="2:8" ht="13.2">
      <c r="B766" s="67"/>
      <c r="C766" s="35"/>
      <c r="G766" s="49"/>
      <c r="H766" s="49"/>
    </row>
    <row r="767" spans="2:8" ht="13.2">
      <c r="B767" s="67"/>
      <c r="C767" s="35"/>
      <c r="G767" s="49"/>
      <c r="H767" s="49"/>
    </row>
    <row r="768" spans="2:8" ht="13.2">
      <c r="B768" s="67"/>
      <c r="C768" s="35"/>
      <c r="G768" s="49"/>
      <c r="H768" s="49"/>
    </row>
    <row r="769" spans="2:8" ht="13.2">
      <c r="B769" s="67"/>
      <c r="C769" s="35"/>
      <c r="G769" s="49"/>
      <c r="H769" s="49"/>
    </row>
    <row r="770" spans="2:8" ht="13.2">
      <c r="B770" s="67"/>
      <c r="C770" s="35"/>
      <c r="G770" s="49"/>
      <c r="H770" s="49"/>
    </row>
    <row r="771" spans="2:8" ht="13.2">
      <c r="B771" s="67"/>
      <c r="C771" s="35"/>
      <c r="G771" s="49"/>
      <c r="H771" s="49"/>
    </row>
    <row r="772" spans="2:8" ht="13.2">
      <c r="B772" s="67"/>
      <c r="C772" s="35"/>
      <c r="G772" s="49"/>
      <c r="H772" s="49"/>
    </row>
    <row r="773" spans="2:8" ht="13.2">
      <c r="B773" s="67"/>
      <c r="C773" s="35"/>
      <c r="G773" s="49"/>
      <c r="H773" s="49"/>
    </row>
    <row r="774" spans="2:8" ht="13.2">
      <c r="B774" s="67"/>
      <c r="C774" s="35"/>
      <c r="G774" s="49"/>
      <c r="H774" s="49"/>
    </row>
    <row r="775" spans="2:8" ht="13.2">
      <c r="B775" s="67"/>
      <c r="C775" s="35"/>
      <c r="G775" s="49"/>
      <c r="H775" s="49"/>
    </row>
    <row r="776" spans="2:8" ht="13.2">
      <c r="B776" s="67"/>
      <c r="C776" s="35"/>
      <c r="G776" s="49"/>
      <c r="H776" s="49"/>
    </row>
    <row r="777" spans="2:8" ht="13.2">
      <c r="B777" s="67"/>
      <c r="C777" s="35"/>
      <c r="G777" s="49"/>
      <c r="H777" s="49"/>
    </row>
    <row r="778" spans="2:8" ht="13.2">
      <c r="B778" s="67"/>
      <c r="C778" s="35"/>
      <c r="G778" s="49"/>
      <c r="H778" s="49"/>
    </row>
    <row r="779" spans="2:8" ht="13.2">
      <c r="B779" s="67"/>
      <c r="C779" s="35"/>
      <c r="G779" s="49"/>
      <c r="H779" s="49"/>
    </row>
    <row r="780" spans="2:8" ht="13.2">
      <c r="B780" s="67"/>
      <c r="C780" s="35"/>
      <c r="G780" s="49"/>
      <c r="H780" s="49"/>
    </row>
    <row r="781" spans="2:8" ht="13.2">
      <c r="B781" s="67"/>
      <c r="C781" s="35"/>
      <c r="G781" s="49"/>
      <c r="H781" s="49"/>
    </row>
    <row r="782" spans="2:8" ht="13.2">
      <c r="B782" s="67"/>
      <c r="C782" s="35"/>
      <c r="G782" s="49"/>
      <c r="H782" s="49"/>
    </row>
    <row r="783" spans="2:8" ht="13.2">
      <c r="B783" s="67"/>
      <c r="C783" s="35"/>
      <c r="G783" s="49"/>
      <c r="H783" s="49"/>
    </row>
    <row r="784" spans="2:8" ht="13.2">
      <c r="B784" s="67"/>
      <c r="C784" s="35"/>
      <c r="G784" s="49"/>
      <c r="H784" s="49"/>
    </row>
    <row r="785" spans="2:8" ht="13.2">
      <c r="B785" s="67"/>
      <c r="C785" s="35"/>
      <c r="G785" s="49"/>
      <c r="H785" s="49"/>
    </row>
    <row r="786" spans="2:8" ht="13.2">
      <c r="B786" s="67"/>
      <c r="C786" s="35"/>
      <c r="G786" s="49"/>
      <c r="H786" s="49"/>
    </row>
    <row r="787" spans="2:8" ht="13.2">
      <c r="B787" s="67"/>
      <c r="C787" s="35"/>
      <c r="G787" s="49"/>
      <c r="H787" s="49"/>
    </row>
    <row r="788" spans="2:8" ht="13.2">
      <c r="B788" s="67"/>
      <c r="C788" s="35"/>
      <c r="G788" s="49"/>
      <c r="H788" s="49"/>
    </row>
    <row r="789" spans="2:8" ht="13.2">
      <c r="B789" s="67"/>
      <c r="C789" s="35"/>
      <c r="G789" s="49"/>
      <c r="H789" s="49"/>
    </row>
    <row r="790" spans="2:8" ht="13.2">
      <c r="B790" s="67"/>
      <c r="C790" s="35"/>
      <c r="G790" s="49"/>
      <c r="H790" s="49"/>
    </row>
    <row r="791" spans="2:8" ht="13.2">
      <c r="B791" s="67"/>
      <c r="C791" s="35"/>
      <c r="G791" s="49"/>
      <c r="H791" s="49"/>
    </row>
    <row r="792" spans="2:8" ht="13.2">
      <c r="B792" s="67"/>
      <c r="C792" s="35"/>
      <c r="G792" s="49"/>
      <c r="H792" s="49"/>
    </row>
    <row r="793" spans="2:8" ht="13.2">
      <c r="B793" s="67"/>
      <c r="C793" s="35"/>
      <c r="G793" s="49"/>
      <c r="H793" s="49"/>
    </row>
    <row r="794" spans="2:8" ht="13.2">
      <c r="B794" s="67"/>
      <c r="C794" s="35"/>
      <c r="G794" s="49"/>
      <c r="H794" s="49"/>
    </row>
    <row r="795" spans="2:8" ht="13.2">
      <c r="B795" s="67"/>
      <c r="C795" s="35"/>
      <c r="G795" s="49"/>
      <c r="H795" s="49"/>
    </row>
    <row r="796" spans="2:8" ht="13.2">
      <c r="B796" s="67"/>
      <c r="C796" s="35"/>
      <c r="G796" s="49"/>
      <c r="H796" s="49"/>
    </row>
    <row r="797" spans="2:8" ht="13.2">
      <c r="B797" s="67"/>
      <c r="C797" s="35"/>
      <c r="G797" s="49"/>
      <c r="H797" s="49"/>
    </row>
    <row r="798" spans="2:8" ht="13.2">
      <c r="B798" s="67"/>
      <c r="C798" s="35"/>
      <c r="G798" s="49"/>
      <c r="H798" s="49"/>
    </row>
    <row r="799" spans="2:8" ht="13.2">
      <c r="B799" s="67"/>
      <c r="C799" s="35"/>
      <c r="G799" s="49"/>
      <c r="H799" s="49"/>
    </row>
    <row r="800" spans="2:8" ht="13.2">
      <c r="B800" s="67"/>
      <c r="C800" s="35"/>
      <c r="G800" s="49"/>
      <c r="H800" s="49"/>
    </row>
    <row r="801" spans="2:8" ht="13.2">
      <c r="B801" s="67"/>
      <c r="C801" s="35"/>
      <c r="G801" s="49"/>
      <c r="H801" s="49"/>
    </row>
    <row r="802" spans="2:8" ht="13.2">
      <c r="B802" s="67"/>
      <c r="C802" s="35"/>
      <c r="G802" s="49"/>
      <c r="H802" s="49"/>
    </row>
    <row r="803" spans="2:8" ht="13.2">
      <c r="B803" s="67"/>
      <c r="C803" s="35"/>
      <c r="G803" s="49"/>
      <c r="H803" s="49"/>
    </row>
    <row r="804" spans="2:8" ht="13.2">
      <c r="B804" s="67"/>
      <c r="C804" s="35"/>
      <c r="G804" s="49"/>
      <c r="H804" s="49"/>
    </row>
    <row r="805" spans="2:8" ht="13.2">
      <c r="B805" s="67"/>
      <c r="C805" s="35"/>
      <c r="G805" s="49"/>
      <c r="H805" s="49"/>
    </row>
    <row r="806" spans="2:8" ht="13.2">
      <c r="B806" s="67"/>
      <c r="C806" s="35"/>
      <c r="G806" s="49"/>
      <c r="H806" s="49"/>
    </row>
    <row r="807" spans="2:8" ht="13.2">
      <c r="B807" s="67"/>
      <c r="C807" s="35"/>
      <c r="G807" s="49"/>
      <c r="H807" s="49"/>
    </row>
    <row r="808" spans="2:8" ht="13.2">
      <c r="B808" s="67"/>
      <c r="C808" s="35"/>
      <c r="G808" s="49"/>
      <c r="H808" s="49"/>
    </row>
    <row r="809" spans="2:8" ht="13.2">
      <c r="B809" s="67"/>
      <c r="C809" s="35"/>
      <c r="G809" s="49"/>
      <c r="H809" s="49"/>
    </row>
    <row r="810" spans="2:8" ht="13.2">
      <c r="B810" s="67"/>
      <c r="C810" s="35"/>
      <c r="G810" s="49"/>
      <c r="H810" s="49"/>
    </row>
    <row r="811" spans="2:8" ht="13.2">
      <c r="B811" s="67"/>
      <c r="C811" s="35"/>
      <c r="G811" s="49"/>
      <c r="H811" s="49"/>
    </row>
    <row r="812" spans="2:8" ht="13.2">
      <c r="B812" s="67"/>
      <c r="C812" s="35"/>
      <c r="G812" s="49"/>
      <c r="H812" s="49"/>
    </row>
    <row r="813" spans="2:8" ht="13.2">
      <c r="B813" s="67"/>
      <c r="C813" s="35"/>
      <c r="G813" s="49"/>
      <c r="H813" s="49"/>
    </row>
    <row r="814" spans="2:8" ht="13.2">
      <c r="B814" s="67"/>
      <c r="C814" s="35"/>
      <c r="G814" s="49"/>
      <c r="H814" s="49"/>
    </row>
    <row r="815" spans="2:8" ht="13.2">
      <c r="B815" s="67"/>
      <c r="C815" s="35"/>
      <c r="G815" s="49"/>
      <c r="H815" s="49"/>
    </row>
    <row r="816" spans="2:8" ht="13.2">
      <c r="B816" s="67"/>
      <c r="C816" s="35"/>
      <c r="G816" s="49"/>
      <c r="H816" s="49"/>
    </row>
    <row r="817" spans="2:8" ht="13.2">
      <c r="B817" s="67"/>
      <c r="C817" s="35"/>
      <c r="G817" s="49"/>
      <c r="H817" s="49"/>
    </row>
    <row r="818" spans="2:8" ht="13.2">
      <c r="B818" s="67"/>
      <c r="C818" s="35"/>
      <c r="G818" s="49"/>
      <c r="H818" s="49"/>
    </row>
    <row r="819" spans="2:8" ht="13.2">
      <c r="B819" s="67"/>
      <c r="C819" s="35"/>
      <c r="G819" s="49"/>
      <c r="H819" s="49"/>
    </row>
    <row r="820" spans="2:8" ht="13.2">
      <c r="B820" s="67"/>
      <c r="C820" s="35"/>
      <c r="G820" s="49"/>
      <c r="H820" s="49"/>
    </row>
    <row r="821" spans="2:8" ht="13.2">
      <c r="B821" s="67"/>
      <c r="C821" s="35"/>
      <c r="G821" s="49"/>
      <c r="H821" s="49"/>
    </row>
    <row r="822" spans="2:8" ht="13.2">
      <c r="B822" s="67"/>
      <c r="C822" s="35"/>
      <c r="G822" s="49"/>
      <c r="H822" s="49"/>
    </row>
    <row r="823" spans="2:8" ht="13.2">
      <c r="B823" s="67"/>
      <c r="C823" s="35"/>
      <c r="G823" s="49"/>
      <c r="H823" s="49"/>
    </row>
    <row r="824" spans="2:8" ht="13.2">
      <c r="B824" s="67"/>
      <c r="C824" s="35"/>
      <c r="G824" s="49"/>
      <c r="H824" s="49"/>
    </row>
    <row r="825" spans="2:8" ht="13.2">
      <c r="B825" s="67"/>
      <c r="C825" s="35"/>
      <c r="G825" s="49"/>
      <c r="H825" s="49"/>
    </row>
    <row r="826" spans="2:8" ht="13.2">
      <c r="B826" s="67"/>
      <c r="C826" s="35"/>
      <c r="G826" s="49"/>
      <c r="H826" s="49"/>
    </row>
    <row r="827" spans="2:8" ht="13.2">
      <c r="B827" s="67"/>
      <c r="C827" s="35"/>
      <c r="G827" s="49"/>
      <c r="H827" s="49"/>
    </row>
    <row r="828" spans="2:8" ht="13.2">
      <c r="B828" s="67"/>
      <c r="C828" s="35"/>
      <c r="G828" s="49"/>
      <c r="H828" s="49"/>
    </row>
    <row r="829" spans="2:8" ht="13.2">
      <c r="B829" s="67"/>
      <c r="C829" s="35"/>
      <c r="G829" s="49"/>
      <c r="H829" s="49"/>
    </row>
    <row r="830" spans="2:8" ht="13.2">
      <c r="B830" s="67"/>
      <c r="C830" s="35"/>
      <c r="G830" s="49"/>
      <c r="H830" s="49"/>
    </row>
    <row r="831" spans="2:8" ht="13.2">
      <c r="B831" s="67"/>
      <c r="C831" s="35"/>
      <c r="G831" s="49"/>
      <c r="H831" s="49"/>
    </row>
    <row r="832" spans="2:8" ht="13.2">
      <c r="B832" s="67"/>
      <c r="C832" s="35"/>
      <c r="G832" s="49"/>
      <c r="H832" s="49"/>
    </row>
    <row r="833" spans="2:8" ht="13.2">
      <c r="B833" s="67"/>
      <c r="C833" s="35"/>
      <c r="G833" s="49"/>
      <c r="H833" s="49"/>
    </row>
    <row r="834" spans="2:8" ht="13.2">
      <c r="B834" s="67"/>
      <c r="C834" s="35"/>
      <c r="G834" s="49"/>
      <c r="H834" s="49"/>
    </row>
    <row r="835" spans="2:8" ht="13.2">
      <c r="B835" s="67"/>
      <c r="C835" s="35"/>
      <c r="G835" s="49"/>
      <c r="H835" s="49"/>
    </row>
    <row r="836" spans="2:8" ht="13.2">
      <c r="B836" s="67"/>
      <c r="C836" s="35"/>
      <c r="G836" s="49"/>
      <c r="H836" s="49"/>
    </row>
    <row r="837" spans="2:8" ht="13.2">
      <c r="B837" s="67"/>
      <c r="C837" s="35"/>
      <c r="G837" s="49"/>
      <c r="H837" s="49"/>
    </row>
    <row r="838" spans="2:8" ht="13.2">
      <c r="B838" s="67"/>
      <c r="C838" s="35"/>
      <c r="G838" s="49"/>
      <c r="H838" s="49"/>
    </row>
    <row r="839" spans="2:8" ht="13.2">
      <c r="B839" s="67"/>
      <c r="C839" s="35"/>
      <c r="G839" s="49"/>
      <c r="H839" s="49"/>
    </row>
    <row r="840" spans="2:8" ht="13.2">
      <c r="B840" s="67"/>
      <c r="C840" s="35"/>
      <c r="G840" s="49"/>
      <c r="H840" s="49"/>
    </row>
    <row r="841" spans="2:8" ht="13.2">
      <c r="B841" s="67"/>
      <c r="C841" s="35"/>
      <c r="G841" s="49"/>
      <c r="H841" s="49"/>
    </row>
    <row r="842" spans="2:8" ht="13.2">
      <c r="B842" s="67"/>
      <c r="C842" s="35"/>
      <c r="G842" s="49"/>
      <c r="H842" s="49"/>
    </row>
    <row r="843" spans="2:8" ht="13.2">
      <c r="B843" s="67"/>
      <c r="C843" s="35"/>
      <c r="G843" s="49"/>
      <c r="H843" s="49"/>
    </row>
    <row r="844" spans="2:8" ht="13.2">
      <c r="B844" s="67"/>
      <c r="C844" s="35"/>
      <c r="G844" s="49"/>
      <c r="H844" s="49"/>
    </row>
    <row r="845" spans="2:8" ht="13.2">
      <c r="B845" s="67"/>
      <c r="C845" s="35"/>
      <c r="G845" s="49"/>
      <c r="H845" s="49"/>
    </row>
    <row r="846" spans="2:8" ht="13.2">
      <c r="B846" s="67"/>
      <c r="C846" s="35"/>
      <c r="G846" s="49"/>
      <c r="H846" s="49"/>
    </row>
    <row r="847" spans="2:8" ht="13.2">
      <c r="B847" s="67"/>
      <c r="C847" s="35"/>
      <c r="G847" s="49"/>
      <c r="H847" s="49"/>
    </row>
    <row r="848" spans="2:8" ht="13.2">
      <c r="B848" s="67"/>
      <c r="C848" s="35"/>
      <c r="G848" s="49"/>
      <c r="H848" s="49"/>
    </row>
    <row r="849" spans="2:8" ht="13.2">
      <c r="B849" s="67"/>
      <c r="C849" s="35"/>
      <c r="G849" s="49"/>
      <c r="H849" s="49"/>
    </row>
    <row r="850" spans="2:8" ht="13.2">
      <c r="B850" s="67"/>
      <c r="C850" s="35"/>
      <c r="G850" s="49"/>
      <c r="H850" s="49"/>
    </row>
    <row r="851" spans="2:8" ht="13.2">
      <c r="B851" s="67"/>
      <c r="C851" s="35"/>
      <c r="G851" s="49"/>
      <c r="H851" s="49"/>
    </row>
    <row r="852" spans="2:8" ht="13.2">
      <c r="B852" s="67"/>
      <c r="C852" s="35"/>
      <c r="G852" s="49"/>
      <c r="H852" s="49"/>
    </row>
    <row r="853" spans="2:8" ht="13.2">
      <c r="B853" s="67"/>
      <c r="C853" s="35"/>
      <c r="G853" s="49"/>
      <c r="H853" s="49"/>
    </row>
    <row r="854" spans="2:8" ht="13.2">
      <c r="B854" s="67"/>
      <c r="C854" s="35"/>
      <c r="G854" s="49"/>
      <c r="H854" s="49"/>
    </row>
    <row r="855" spans="2:8" ht="13.2">
      <c r="B855" s="67"/>
      <c r="C855" s="35"/>
      <c r="G855" s="49"/>
      <c r="H855" s="49"/>
    </row>
    <row r="856" spans="2:8" ht="13.2">
      <c r="B856" s="67"/>
      <c r="C856" s="35"/>
      <c r="G856" s="49"/>
      <c r="H856" s="49"/>
    </row>
    <row r="857" spans="2:8" ht="13.2">
      <c r="B857" s="67"/>
      <c r="C857" s="35"/>
      <c r="G857" s="49"/>
      <c r="H857" s="49"/>
    </row>
    <row r="858" spans="2:8" ht="13.2">
      <c r="B858" s="67"/>
      <c r="C858" s="35"/>
      <c r="G858" s="49"/>
      <c r="H858" s="49"/>
    </row>
    <row r="859" spans="2:8" ht="13.2">
      <c r="B859" s="67"/>
      <c r="C859" s="35"/>
      <c r="G859" s="49"/>
      <c r="H859" s="49"/>
    </row>
    <row r="860" spans="2:8" ht="13.2">
      <c r="B860" s="67"/>
      <c r="C860" s="35"/>
      <c r="G860" s="49"/>
      <c r="H860" s="49"/>
    </row>
    <row r="861" spans="2:8" ht="13.2">
      <c r="B861" s="67"/>
      <c r="C861" s="35"/>
      <c r="G861" s="49"/>
      <c r="H861" s="49"/>
    </row>
    <row r="862" spans="2:8" ht="13.2">
      <c r="B862" s="67"/>
      <c r="C862" s="35"/>
      <c r="G862" s="49"/>
      <c r="H862" s="49"/>
    </row>
    <row r="863" spans="2:8" ht="13.2">
      <c r="B863" s="67"/>
      <c r="C863" s="35"/>
      <c r="G863" s="49"/>
      <c r="H863" s="49"/>
    </row>
    <row r="864" spans="2:8" ht="13.2">
      <c r="B864" s="67"/>
      <c r="C864" s="35"/>
      <c r="G864" s="49"/>
      <c r="H864" s="49"/>
    </row>
    <row r="865" spans="2:8" ht="13.2">
      <c r="B865" s="67"/>
      <c r="C865" s="35"/>
      <c r="G865" s="49"/>
      <c r="H865" s="49"/>
    </row>
    <row r="866" spans="2:8" ht="13.2">
      <c r="B866" s="67"/>
      <c r="C866" s="35"/>
      <c r="G866" s="49"/>
      <c r="H866" s="49"/>
    </row>
    <row r="867" spans="2:8" ht="13.2">
      <c r="B867" s="67"/>
      <c r="C867" s="35"/>
      <c r="G867" s="49"/>
      <c r="H867" s="49"/>
    </row>
    <row r="868" spans="2:8" ht="13.2">
      <c r="B868" s="67"/>
      <c r="C868" s="35"/>
      <c r="G868" s="49"/>
      <c r="H868" s="49"/>
    </row>
    <row r="869" spans="2:8" ht="13.2">
      <c r="B869" s="67"/>
      <c r="C869" s="35"/>
      <c r="G869" s="49"/>
      <c r="H869" s="49"/>
    </row>
    <row r="870" spans="2:8" ht="13.2">
      <c r="B870" s="67"/>
      <c r="C870" s="35"/>
      <c r="G870" s="49"/>
      <c r="H870" s="49"/>
    </row>
    <row r="871" spans="2:8" ht="13.2">
      <c r="B871" s="67"/>
      <c r="C871" s="35"/>
      <c r="G871" s="49"/>
      <c r="H871" s="49"/>
    </row>
    <row r="872" spans="2:8" ht="13.2">
      <c r="B872" s="67"/>
      <c r="C872" s="35"/>
      <c r="G872" s="49"/>
      <c r="H872" s="49"/>
    </row>
    <row r="873" spans="2:8" ht="13.2">
      <c r="B873" s="67"/>
      <c r="C873" s="35"/>
      <c r="G873" s="49"/>
      <c r="H873" s="49"/>
    </row>
    <row r="874" spans="2:8" ht="13.2">
      <c r="B874" s="67"/>
      <c r="C874" s="35"/>
      <c r="G874" s="49"/>
      <c r="H874" s="49"/>
    </row>
    <row r="875" spans="2:8" ht="13.2">
      <c r="B875" s="67"/>
      <c r="C875" s="35"/>
      <c r="G875" s="49"/>
      <c r="H875" s="49"/>
    </row>
    <row r="876" spans="2:8" ht="13.2">
      <c r="B876" s="67"/>
      <c r="C876" s="35"/>
      <c r="G876" s="49"/>
      <c r="H876" s="49"/>
    </row>
    <row r="877" spans="2:8" ht="13.2">
      <c r="B877" s="67"/>
      <c r="C877" s="35"/>
      <c r="G877" s="49"/>
      <c r="H877" s="49"/>
    </row>
    <row r="878" spans="2:8" ht="13.2">
      <c r="B878" s="67"/>
      <c r="C878" s="35"/>
      <c r="G878" s="49"/>
      <c r="H878" s="49"/>
    </row>
    <row r="879" spans="2:8" ht="13.2">
      <c r="B879" s="67"/>
      <c r="C879" s="35"/>
      <c r="G879" s="49"/>
      <c r="H879" s="49"/>
    </row>
    <row r="880" spans="2:8" ht="13.2">
      <c r="B880" s="67"/>
      <c r="C880" s="35"/>
      <c r="G880" s="49"/>
      <c r="H880" s="49"/>
    </row>
    <row r="881" spans="2:8" ht="13.2">
      <c r="B881" s="67"/>
      <c r="C881" s="35"/>
      <c r="G881" s="49"/>
      <c r="H881" s="49"/>
    </row>
    <row r="882" spans="2:8" ht="13.2">
      <c r="B882" s="67"/>
      <c r="C882" s="35"/>
      <c r="G882" s="49"/>
      <c r="H882" s="49"/>
    </row>
    <row r="883" spans="2:8" ht="13.2">
      <c r="B883" s="67"/>
      <c r="C883" s="35"/>
      <c r="G883" s="49"/>
      <c r="H883" s="49"/>
    </row>
    <row r="884" spans="2:8" ht="13.2">
      <c r="B884" s="67"/>
      <c r="C884" s="35"/>
      <c r="G884" s="49"/>
      <c r="H884" s="49"/>
    </row>
    <row r="885" spans="2:8" ht="13.2">
      <c r="B885" s="67"/>
      <c r="C885" s="35"/>
      <c r="G885" s="49"/>
      <c r="H885" s="49"/>
    </row>
    <row r="886" spans="2:8" ht="13.2">
      <c r="B886" s="67"/>
      <c r="C886" s="35"/>
      <c r="G886" s="49"/>
      <c r="H886" s="49"/>
    </row>
    <row r="887" spans="2:8" ht="13.2">
      <c r="B887" s="67"/>
      <c r="C887" s="35"/>
      <c r="G887" s="49"/>
      <c r="H887" s="49"/>
    </row>
    <row r="888" spans="2:8" ht="13.2">
      <c r="B888" s="67"/>
      <c r="C888" s="35"/>
      <c r="G888" s="49"/>
      <c r="H888" s="49"/>
    </row>
    <row r="889" spans="2:8" ht="13.2">
      <c r="B889" s="67"/>
      <c r="C889" s="35"/>
      <c r="G889" s="49"/>
      <c r="H889" s="49"/>
    </row>
    <row r="890" spans="2:8" ht="13.2">
      <c r="B890" s="67"/>
      <c r="C890" s="35"/>
      <c r="G890" s="49"/>
      <c r="H890" s="49"/>
    </row>
    <row r="891" spans="2:8" ht="13.2">
      <c r="B891" s="67"/>
      <c r="C891" s="35"/>
      <c r="G891" s="49"/>
      <c r="H891" s="49"/>
    </row>
    <row r="892" spans="2:8" ht="13.2">
      <c r="B892" s="67"/>
      <c r="C892" s="35"/>
      <c r="G892" s="49"/>
      <c r="H892" s="49"/>
    </row>
    <row r="893" spans="2:8" ht="13.2">
      <c r="B893" s="67"/>
      <c r="C893" s="35"/>
      <c r="G893" s="49"/>
      <c r="H893" s="49"/>
    </row>
    <row r="894" spans="2:8" ht="13.2">
      <c r="B894" s="67"/>
      <c r="C894" s="35"/>
      <c r="G894" s="49"/>
      <c r="H894" s="49"/>
    </row>
    <row r="895" spans="2:8" ht="13.2">
      <c r="B895" s="67"/>
      <c r="C895" s="35"/>
      <c r="G895" s="49"/>
      <c r="H895" s="49"/>
    </row>
    <row r="896" spans="2:8" ht="13.2">
      <c r="B896" s="67"/>
      <c r="C896" s="35"/>
      <c r="G896" s="49"/>
      <c r="H896" s="49"/>
    </row>
    <row r="897" spans="2:8" ht="13.2">
      <c r="B897" s="67"/>
      <c r="C897" s="35"/>
      <c r="G897" s="49"/>
      <c r="H897" s="49"/>
    </row>
    <row r="898" spans="2:8" ht="13.2">
      <c r="B898" s="67"/>
      <c r="C898" s="35"/>
      <c r="G898" s="49"/>
      <c r="H898" s="49"/>
    </row>
    <row r="899" spans="2:8" ht="13.2">
      <c r="B899" s="67"/>
      <c r="C899" s="35"/>
      <c r="G899" s="49"/>
      <c r="H899" s="49"/>
    </row>
    <row r="900" spans="2:8" ht="13.2">
      <c r="B900" s="67"/>
      <c r="C900" s="35"/>
      <c r="G900" s="49"/>
      <c r="H900" s="49"/>
    </row>
    <row r="901" spans="2:8" ht="13.2">
      <c r="B901" s="67"/>
      <c r="C901" s="35"/>
      <c r="G901" s="49"/>
      <c r="H901" s="49"/>
    </row>
    <row r="902" spans="2:8" ht="13.2">
      <c r="B902" s="67"/>
      <c r="C902" s="35"/>
      <c r="G902" s="49"/>
      <c r="H902" s="49"/>
    </row>
    <row r="903" spans="2:8" ht="13.2">
      <c r="B903" s="67"/>
      <c r="C903" s="35"/>
      <c r="G903" s="49"/>
      <c r="H903" s="49"/>
    </row>
    <row r="904" spans="2:8" ht="13.2">
      <c r="B904" s="67"/>
      <c r="C904" s="35"/>
      <c r="G904" s="49"/>
      <c r="H904" s="49"/>
    </row>
    <row r="905" spans="2:8" ht="13.2">
      <c r="B905" s="67"/>
      <c r="C905" s="35"/>
      <c r="G905" s="49"/>
      <c r="H905" s="49"/>
    </row>
    <row r="906" spans="2:8" ht="13.2">
      <c r="B906" s="67"/>
      <c r="C906" s="35"/>
      <c r="G906" s="49"/>
      <c r="H906" s="49"/>
    </row>
    <row r="907" spans="2:8" ht="13.2">
      <c r="B907" s="67"/>
      <c r="C907" s="35"/>
      <c r="G907" s="49"/>
      <c r="H907" s="49"/>
    </row>
    <row r="908" spans="2:8" ht="13.2">
      <c r="B908" s="67"/>
      <c r="C908" s="35"/>
      <c r="G908" s="49"/>
      <c r="H908" s="49"/>
    </row>
    <row r="909" spans="2:8" ht="13.2">
      <c r="B909" s="67"/>
      <c r="C909" s="35"/>
      <c r="G909" s="49"/>
      <c r="H909" s="49"/>
    </row>
    <row r="910" spans="2:8" ht="13.2">
      <c r="B910" s="67"/>
      <c r="C910" s="35"/>
      <c r="G910" s="49"/>
      <c r="H910" s="49"/>
    </row>
    <row r="911" spans="2:8" ht="13.2">
      <c r="B911" s="67"/>
      <c r="C911" s="35"/>
      <c r="G911" s="49"/>
      <c r="H911" s="49"/>
    </row>
    <row r="912" spans="2:8" ht="13.2">
      <c r="B912" s="67"/>
      <c r="C912" s="35"/>
      <c r="G912" s="49"/>
      <c r="H912" s="49"/>
    </row>
    <row r="913" spans="2:8" ht="13.2">
      <c r="B913" s="67"/>
      <c r="C913" s="35"/>
      <c r="G913" s="49"/>
      <c r="H913" s="49"/>
    </row>
    <row r="914" spans="2:8" ht="13.2">
      <c r="B914" s="67"/>
      <c r="C914" s="35"/>
      <c r="G914" s="49"/>
      <c r="H914" s="49"/>
    </row>
    <row r="915" spans="2:8" ht="13.2">
      <c r="B915" s="67"/>
      <c r="C915" s="35"/>
      <c r="G915" s="49"/>
      <c r="H915" s="49"/>
    </row>
    <row r="916" spans="2:8" ht="13.2">
      <c r="B916" s="67"/>
      <c r="C916" s="35"/>
      <c r="G916" s="49"/>
      <c r="H916" s="49"/>
    </row>
    <row r="917" spans="2:8" ht="13.2">
      <c r="B917" s="67"/>
      <c r="C917" s="35"/>
      <c r="G917" s="49"/>
      <c r="H917" s="49"/>
    </row>
    <row r="918" spans="2:8" ht="13.2">
      <c r="B918" s="67"/>
      <c r="C918" s="35"/>
      <c r="G918" s="49"/>
      <c r="H918" s="49"/>
    </row>
    <row r="919" spans="2:8" ht="13.2">
      <c r="B919" s="67"/>
      <c r="C919" s="35"/>
      <c r="G919" s="49"/>
      <c r="H919" s="49"/>
    </row>
    <row r="920" spans="2:8" ht="13.2">
      <c r="B920" s="67"/>
      <c r="C920" s="35"/>
      <c r="G920" s="49"/>
      <c r="H920" s="49"/>
    </row>
    <row r="921" spans="2:8" ht="13.2">
      <c r="B921" s="67"/>
      <c r="C921" s="35"/>
      <c r="G921" s="49"/>
      <c r="H921" s="49"/>
    </row>
    <row r="922" spans="2:8" ht="13.2">
      <c r="B922" s="67"/>
      <c r="C922" s="35"/>
      <c r="G922" s="49"/>
      <c r="H922" s="49"/>
    </row>
    <row r="923" spans="2:8" ht="13.2">
      <c r="B923" s="67"/>
      <c r="C923" s="35"/>
      <c r="G923" s="49"/>
      <c r="H923" s="49"/>
    </row>
    <row r="924" spans="2:8" ht="13.2">
      <c r="B924" s="67"/>
      <c r="C924" s="35"/>
      <c r="G924" s="49"/>
      <c r="H924" s="49"/>
    </row>
    <row r="925" spans="2:8" ht="13.2">
      <c r="B925" s="67"/>
      <c r="C925" s="35"/>
      <c r="G925" s="49"/>
      <c r="H925" s="49"/>
    </row>
    <row r="926" spans="2:8" ht="13.2">
      <c r="B926" s="67"/>
      <c r="C926" s="35"/>
      <c r="G926" s="49"/>
      <c r="H926" s="49"/>
    </row>
    <row r="927" spans="2:8" ht="13.2">
      <c r="B927" s="67"/>
      <c r="C927" s="35"/>
      <c r="G927" s="49"/>
      <c r="H927" s="49"/>
    </row>
    <row r="928" spans="2:8" ht="13.2">
      <c r="B928" s="67"/>
      <c r="C928" s="35"/>
      <c r="G928" s="49"/>
      <c r="H928" s="49"/>
    </row>
    <row r="929" spans="2:8" ht="13.2">
      <c r="B929" s="67"/>
      <c r="C929" s="35"/>
      <c r="G929" s="49"/>
      <c r="H929" s="49"/>
    </row>
    <row r="930" spans="2:8" ht="13.2">
      <c r="B930" s="67"/>
      <c r="C930" s="35"/>
      <c r="G930" s="49"/>
      <c r="H930" s="49"/>
    </row>
    <row r="931" spans="2:8" ht="13.2">
      <c r="B931" s="67"/>
      <c r="C931" s="35"/>
      <c r="G931" s="49"/>
      <c r="H931" s="49"/>
    </row>
    <row r="932" spans="2:8" ht="13.2">
      <c r="B932" s="67"/>
      <c r="C932" s="35"/>
      <c r="G932" s="49"/>
      <c r="H932" s="49"/>
    </row>
    <row r="933" spans="2:8" ht="13.2">
      <c r="B933" s="67"/>
      <c r="C933" s="35"/>
      <c r="G933" s="49"/>
      <c r="H933" s="49"/>
    </row>
    <row r="934" spans="2:8" ht="13.2">
      <c r="B934" s="67"/>
      <c r="C934" s="35"/>
      <c r="G934" s="49"/>
      <c r="H934" s="49"/>
    </row>
    <row r="935" spans="2:8" ht="13.2">
      <c r="B935" s="67"/>
      <c r="C935" s="35"/>
      <c r="G935" s="49"/>
      <c r="H935" s="49"/>
    </row>
    <row r="936" spans="2:8" ht="13.2">
      <c r="B936" s="67"/>
      <c r="C936" s="35"/>
      <c r="G936" s="49"/>
      <c r="H936" s="49"/>
    </row>
    <row r="937" spans="2:8" ht="13.2">
      <c r="B937" s="67"/>
      <c r="C937" s="35"/>
      <c r="G937" s="49"/>
      <c r="H937" s="49"/>
    </row>
    <row r="938" spans="2:8" ht="13.2">
      <c r="B938" s="67"/>
      <c r="C938" s="35"/>
      <c r="G938" s="49"/>
      <c r="H938" s="49"/>
    </row>
    <row r="939" spans="2:8" ht="13.2">
      <c r="B939" s="67"/>
      <c r="C939" s="35"/>
      <c r="G939" s="49"/>
      <c r="H939" s="49"/>
    </row>
    <row r="940" spans="2:8" ht="13.2">
      <c r="B940" s="67"/>
      <c r="C940" s="35"/>
      <c r="G940" s="49"/>
      <c r="H940" s="49"/>
    </row>
    <row r="941" spans="2:8" ht="13.2">
      <c r="B941" s="67"/>
      <c r="C941" s="35"/>
      <c r="G941" s="49"/>
      <c r="H941" s="49"/>
    </row>
    <row r="942" spans="2:8" ht="13.2">
      <c r="B942" s="67"/>
      <c r="C942" s="35"/>
      <c r="G942" s="49"/>
      <c r="H942" s="49"/>
    </row>
    <row r="943" spans="2:8" ht="13.2">
      <c r="B943" s="67"/>
      <c r="C943" s="35"/>
      <c r="G943" s="49"/>
      <c r="H943" s="49"/>
    </row>
    <row r="944" spans="2:8" ht="13.2">
      <c r="B944" s="67"/>
      <c r="C944" s="35"/>
      <c r="G944" s="49"/>
      <c r="H944" s="49"/>
    </row>
    <row r="945" spans="2:8" ht="13.2">
      <c r="B945" s="67"/>
      <c r="C945" s="35"/>
      <c r="G945" s="49"/>
      <c r="H945" s="49"/>
    </row>
    <row r="946" spans="2:8" ht="13.2">
      <c r="B946" s="67"/>
      <c r="C946" s="35"/>
      <c r="G946" s="49"/>
      <c r="H946" s="49"/>
    </row>
    <row r="947" spans="2:8" ht="13.2">
      <c r="B947" s="67"/>
      <c r="C947" s="35"/>
      <c r="G947" s="49"/>
      <c r="H947" s="49"/>
    </row>
    <row r="948" spans="2:8" ht="13.2">
      <c r="B948" s="67"/>
      <c r="C948" s="35"/>
      <c r="G948" s="49"/>
      <c r="H948" s="49"/>
    </row>
    <row r="949" spans="2:8" ht="13.2">
      <c r="B949" s="67"/>
      <c r="C949" s="35"/>
      <c r="G949" s="49"/>
      <c r="H949" s="49"/>
    </row>
    <row r="950" spans="2:8" ht="13.2">
      <c r="B950" s="67"/>
      <c r="C950" s="35"/>
      <c r="G950" s="49"/>
      <c r="H950" s="49"/>
    </row>
    <row r="951" spans="2:8" ht="13.2">
      <c r="B951" s="67"/>
      <c r="C951" s="35"/>
      <c r="G951" s="49"/>
      <c r="H951" s="49"/>
    </row>
    <row r="952" spans="2:8" ht="13.2">
      <c r="B952" s="67"/>
      <c r="C952" s="35"/>
      <c r="G952" s="49"/>
      <c r="H952" s="49"/>
    </row>
    <row r="953" spans="2:8" ht="13.2">
      <c r="B953" s="67"/>
      <c r="C953" s="35"/>
      <c r="G953" s="49"/>
      <c r="H953" s="49"/>
    </row>
    <row r="954" spans="2:8" ht="13.2">
      <c r="B954" s="67"/>
      <c r="C954" s="35"/>
      <c r="G954" s="49"/>
      <c r="H954" s="49"/>
    </row>
    <row r="955" spans="2:8" ht="13.2">
      <c r="B955" s="67"/>
      <c r="C955" s="35"/>
      <c r="G955" s="49"/>
      <c r="H955" s="49"/>
    </row>
    <row r="956" spans="2:8" ht="13.2">
      <c r="B956" s="67"/>
      <c r="C956" s="35"/>
      <c r="G956" s="49"/>
      <c r="H956" s="49"/>
    </row>
    <row r="957" spans="2:8" ht="13.2">
      <c r="B957" s="67"/>
      <c r="C957" s="35"/>
      <c r="G957" s="49"/>
      <c r="H957" s="49"/>
    </row>
    <row r="958" spans="2:8" ht="13.2">
      <c r="B958" s="67"/>
      <c r="C958" s="35"/>
      <c r="G958" s="49"/>
      <c r="H958" s="49"/>
    </row>
    <row r="959" spans="2:8" ht="13.2">
      <c r="B959" s="67"/>
      <c r="C959" s="35"/>
      <c r="G959" s="49"/>
      <c r="H959" s="49"/>
    </row>
    <row r="960" spans="2:8" ht="13.2">
      <c r="B960" s="67"/>
      <c r="C960" s="35"/>
      <c r="G960" s="49"/>
      <c r="H960" s="49"/>
    </row>
    <row r="961" spans="2:8" ht="13.2">
      <c r="B961" s="67"/>
      <c r="C961" s="35"/>
      <c r="G961" s="49"/>
      <c r="H961" s="49"/>
    </row>
    <row r="962" spans="2:8" ht="13.2">
      <c r="B962" s="67"/>
      <c r="C962" s="35"/>
      <c r="G962" s="49"/>
      <c r="H962" s="49"/>
    </row>
    <row r="963" spans="2:8" ht="13.2">
      <c r="B963" s="67"/>
      <c r="C963" s="35"/>
      <c r="G963" s="49"/>
      <c r="H963" s="49"/>
    </row>
    <row r="964" spans="2:8" ht="13.2">
      <c r="B964" s="67"/>
      <c r="C964" s="35"/>
      <c r="G964" s="49"/>
      <c r="H964" s="49"/>
    </row>
    <row r="965" spans="2:8" ht="13.2">
      <c r="B965" s="67"/>
      <c r="C965" s="35"/>
      <c r="G965" s="49"/>
      <c r="H965" s="49"/>
    </row>
    <row r="966" spans="2:8" ht="13.2">
      <c r="B966" s="67"/>
      <c r="C966" s="35"/>
      <c r="G966" s="49"/>
      <c r="H966" s="49"/>
    </row>
    <row r="967" spans="2:8" ht="13.2">
      <c r="B967" s="67"/>
      <c r="C967" s="35"/>
      <c r="G967" s="49"/>
      <c r="H967" s="49"/>
    </row>
    <row r="968" spans="2:8" ht="13.2">
      <c r="B968" s="67"/>
      <c r="C968" s="35"/>
      <c r="G968" s="49"/>
      <c r="H968" s="49"/>
    </row>
    <row r="969" spans="2:8" ht="13.2">
      <c r="B969" s="67"/>
      <c r="C969" s="35"/>
      <c r="G969" s="49"/>
      <c r="H969" s="49"/>
    </row>
    <row r="970" spans="2:8" ht="13.2">
      <c r="B970" s="67"/>
      <c r="C970" s="35"/>
      <c r="G970" s="49"/>
      <c r="H970" s="49"/>
    </row>
    <row r="971" spans="2:8" ht="13.2">
      <c r="B971" s="67"/>
      <c r="C971" s="35"/>
      <c r="G971" s="49"/>
      <c r="H971" s="49"/>
    </row>
    <row r="972" spans="2:8" ht="13.2">
      <c r="B972" s="67"/>
      <c r="C972" s="35"/>
      <c r="G972" s="49"/>
      <c r="H972" s="49"/>
    </row>
    <row r="973" spans="2:8" ht="13.2">
      <c r="B973" s="67"/>
      <c r="C973" s="35"/>
      <c r="G973" s="49"/>
      <c r="H973" s="49"/>
    </row>
    <row r="974" spans="2:8" ht="13.2">
      <c r="B974" s="67"/>
      <c r="C974" s="35"/>
      <c r="G974" s="49"/>
      <c r="H974" s="49"/>
    </row>
    <row r="975" spans="2:8" ht="13.2">
      <c r="B975" s="67"/>
      <c r="C975" s="35"/>
      <c r="G975" s="49"/>
      <c r="H975" s="49"/>
    </row>
    <row r="976" spans="2:8" ht="13.2">
      <c r="B976" s="67"/>
      <c r="C976" s="35"/>
      <c r="G976" s="49"/>
      <c r="H976" s="49"/>
    </row>
    <row r="977" spans="2:8" ht="13.2">
      <c r="B977" s="67"/>
      <c r="C977" s="35"/>
      <c r="G977" s="49"/>
      <c r="H977" s="49"/>
    </row>
    <row r="978" spans="2:8" ht="13.2">
      <c r="B978" s="67"/>
      <c r="C978" s="35"/>
      <c r="G978" s="49"/>
      <c r="H978" s="49"/>
    </row>
    <row r="979" spans="2:8" ht="13.2">
      <c r="B979" s="67"/>
      <c r="C979" s="35"/>
      <c r="G979" s="49"/>
      <c r="H979" s="49"/>
    </row>
    <row r="980" spans="2:8" ht="13.2">
      <c r="B980" s="67"/>
      <c r="C980" s="35"/>
      <c r="G980" s="49"/>
      <c r="H980" s="49"/>
    </row>
    <row r="981" spans="2:8" ht="13.2">
      <c r="B981" s="67"/>
      <c r="C981" s="35"/>
      <c r="G981" s="49"/>
      <c r="H981" s="49"/>
    </row>
    <row r="982" spans="2:8" ht="13.2">
      <c r="B982" s="67"/>
      <c r="C982" s="35"/>
      <c r="G982" s="49"/>
      <c r="H982" s="49"/>
    </row>
    <row r="983" spans="2:8" ht="13.2">
      <c r="B983" s="67"/>
      <c r="C983" s="35"/>
      <c r="G983" s="49"/>
      <c r="H983" s="49"/>
    </row>
    <row r="984" spans="2:8" ht="13.2">
      <c r="B984" s="67"/>
      <c r="C984" s="35"/>
      <c r="G984" s="49"/>
      <c r="H984" s="49"/>
    </row>
    <row r="985" spans="2:8" ht="13.2">
      <c r="B985" s="67"/>
      <c r="C985" s="35"/>
      <c r="G985" s="49"/>
      <c r="H985" s="49"/>
    </row>
    <row r="986" spans="2:8" ht="13.2">
      <c r="B986" s="67"/>
      <c r="C986" s="35"/>
      <c r="G986" s="49"/>
      <c r="H986" s="49"/>
    </row>
    <row r="987" spans="2:8" ht="13.2">
      <c r="B987" s="67"/>
      <c r="C987" s="35"/>
      <c r="G987" s="49"/>
      <c r="H987" s="49"/>
    </row>
    <row r="988" spans="2:8" ht="13.2">
      <c r="B988" s="67"/>
      <c r="C988" s="35"/>
      <c r="G988" s="49"/>
      <c r="H988" s="49"/>
    </row>
    <row r="989" spans="2:8" ht="13.2">
      <c r="B989" s="67"/>
      <c r="C989" s="35"/>
      <c r="G989" s="49"/>
      <c r="H989" s="49"/>
    </row>
    <row r="990" spans="2:8" ht="13.2">
      <c r="B990" s="67"/>
      <c r="C990" s="35"/>
      <c r="G990" s="49"/>
      <c r="H990" s="49"/>
    </row>
    <row r="991" spans="2:8" ht="13.2">
      <c r="B991" s="67"/>
      <c r="C991" s="35"/>
      <c r="G991" s="49"/>
      <c r="H991" s="49"/>
    </row>
    <row r="992" spans="2:8" ht="13.2">
      <c r="B992" s="67"/>
      <c r="C992" s="35"/>
      <c r="G992" s="49"/>
      <c r="H992" s="49"/>
    </row>
    <row r="993" spans="2:8" ht="13.2">
      <c r="B993" s="67"/>
      <c r="C993" s="35"/>
      <c r="G993" s="49"/>
      <c r="H993" s="49"/>
    </row>
    <row r="994" spans="2:8" ht="13.2">
      <c r="B994" s="67"/>
      <c r="C994" s="35"/>
      <c r="G994" s="49"/>
      <c r="H994" s="49"/>
    </row>
    <row r="995" spans="2:8" ht="13.2">
      <c r="B995" s="67"/>
      <c r="C995" s="35"/>
      <c r="G995" s="49"/>
      <c r="H995" s="49"/>
    </row>
    <row r="996" spans="2:8" ht="13.2">
      <c r="B996" s="67"/>
      <c r="C996" s="35"/>
      <c r="G996" s="49"/>
      <c r="H996" s="49"/>
    </row>
    <row r="997" spans="2:8" ht="13.2">
      <c r="B997" s="67"/>
      <c r="C997" s="35"/>
      <c r="G997" s="49"/>
      <c r="H997" s="49"/>
    </row>
    <row r="998" spans="2:8" ht="13.2">
      <c r="B998" s="67"/>
      <c r="C998" s="35"/>
      <c r="G998" s="49"/>
      <c r="H998" s="49"/>
    </row>
    <row r="999" spans="2:8" ht="13.2">
      <c r="B999" s="67"/>
      <c r="C999" s="35"/>
      <c r="G999" s="49"/>
      <c r="H999" s="49"/>
    </row>
    <row r="1000" spans="2:8" ht="13.2">
      <c r="B1000" s="67"/>
      <c r="C1000" s="35"/>
      <c r="G1000" s="49"/>
      <c r="H1000" s="49"/>
    </row>
    <row r="1001" spans="2:8" ht="13.2">
      <c r="B1001" s="67"/>
      <c r="C1001" s="35"/>
      <c r="G1001" s="49"/>
      <c r="H1001" s="49"/>
    </row>
  </sheetData>
  <mergeCells count="5">
    <mergeCell ref="A1:H1"/>
    <mergeCell ref="A2:A4"/>
    <mergeCell ref="B2:B4"/>
    <mergeCell ref="C2:C4"/>
    <mergeCell ref="D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Digital_COD_Daily</vt:lpstr>
      <vt:lpstr>Total_Score</vt:lpstr>
      <vt:lpstr>Mail_Growth</vt:lpstr>
      <vt:lpstr>Parcel_Growth</vt:lpstr>
      <vt:lpstr>Digital_COD_Trend</vt:lpstr>
      <vt:lpstr>Foreign_Destination</vt:lpstr>
      <vt:lpstr>DNK_Portal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2026-05-24T07:43:11Z</dcterms:created>
  <dcterms:modified xsi:type="dcterms:W3CDTF">2026-05-24T07:43:11Z</dcterms:modified>
</cp:coreProperties>
</file>
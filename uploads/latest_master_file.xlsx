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gital COD Transactions  (Dail" sheetId="1" r:id="rId5"/>
    <sheet state="visible" name="Total score " sheetId="2" r:id="rId6"/>
    <sheet state="visible" name="% growth in mail traffic over c" sheetId="3" r:id="rId7"/>
    <sheet state="visible" name="%Growth in Parcel Traffic over " sheetId="4" r:id="rId8"/>
    <sheet state="visible" name="% Digital Transactions for CoD " sheetId="5" r:id="rId9"/>
    <sheet state="visible" name="% growth in shipments booked fo" sheetId="6" r:id="rId10"/>
    <sheet state="visible" name="% growth in shipments booked on" sheetId="7" r:id="rId11"/>
  </sheets>
  <definedNames/>
  <calcPr/>
</workbook>
</file>

<file path=xl/sharedStrings.xml><?xml version="1.0" encoding="utf-8"?>
<sst xmlns="http://schemas.openxmlformats.org/spreadsheetml/2006/main" count="850" uniqueCount="143">
  <si>
    <t>DAILY MONITORING REPORT - 1st</t>
  </si>
  <si>
    <t>Target = 50% Digital Transaction by the end of May 2026</t>
  </si>
  <si>
    <t>Source: APT 2.0 &gt; MIS Reports &gt; Bulk Customer KPI Reports &gt; COD Collection Report</t>
  </si>
  <si>
    <t>Daily Digital COD Collection (Count) Summary Report for Dated : 20.05.2026</t>
  </si>
  <si>
    <t>Region Name</t>
  </si>
  <si>
    <t>Division Name (Office Name)</t>
  </si>
  <si>
    <t>COD Digital Count</t>
  </si>
  <si>
    <t>Total COD Count</t>
  </si>
  <si>
    <t>% Digital COD</t>
  </si>
  <si>
    <t>Agra Region</t>
  </si>
  <si>
    <t>Agra Division</t>
  </si>
  <si>
    <t>Aligarh Division</t>
  </si>
  <si>
    <t>Bulandshahar Division</t>
  </si>
  <si>
    <t>Etah Division</t>
  </si>
  <si>
    <t>Etawah Division</t>
  </si>
  <si>
    <t>Jhansi Division</t>
  </si>
  <si>
    <t>Mainpuri Division</t>
  </si>
  <si>
    <t>Mathura Division</t>
  </si>
  <si>
    <t>Agra Region Total</t>
  </si>
  <si>
    <t>Bareilly Region</t>
  </si>
  <si>
    <t>Baghpat Division</t>
  </si>
  <si>
    <t>Bareilly Division</t>
  </si>
  <si>
    <t>Bijnor Division</t>
  </si>
  <si>
    <t>Budaun Division</t>
  </si>
  <si>
    <t>Hardoi Division</t>
  </si>
  <si>
    <t>Kheri Division</t>
  </si>
  <si>
    <t>Meerut Division</t>
  </si>
  <si>
    <t>Moradabad Division</t>
  </si>
  <si>
    <t>Muzaffarnagar Division</t>
  </si>
  <si>
    <t>Saharanpur Division</t>
  </si>
  <si>
    <t>Shahjahanpur Division</t>
  </si>
  <si>
    <t>Bareilly Region Total</t>
  </si>
  <si>
    <t>CHQ Region</t>
  </si>
  <si>
    <t>Gautam Buddha Nagar Division office</t>
  </si>
  <si>
    <t>Ghaziabad Division</t>
  </si>
  <si>
    <t>CHQ Region Total</t>
  </si>
  <si>
    <t>Gorakhpur Region</t>
  </si>
  <si>
    <t>Azamgarh Division</t>
  </si>
  <si>
    <t>Bahraich Division</t>
  </si>
  <si>
    <t>Basti Division</t>
  </si>
  <si>
    <t>Deoria Division</t>
  </si>
  <si>
    <t>Gonda Division</t>
  </si>
  <si>
    <t>Gorakhpur Division</t>
  </si>
  <si>
    <t>Gorakhpur Region Total</t>
  </si>
  <si>
    <t>Kanpur Region</t>
  </si>
  <si>
    <t>Banda Division</t>
  </si>
  <si>
    <t>Fatehgarh Division</t>
  </si>
  <si>
    <t>Fatehpur Division</t>
  </si>
  <si>
    <t>Kanpur City Division</t>
  </si>
  <si>
    <t>Kanpur HO Division</t>
  </si>
  <si>
    <t>Kanpur Moffusil Division</t>
  </si>
  <si>
    <t>Kanpur Region Total</t>
  </si>
  <si>
    <t>Lucknow HQ Region</t>
  </si>
  <si>
    <t>Ayodhya Division</t>
  </si>
  <si>
    <t>Barabanki Division</t>
  </si>
  <si>
    <t>Lucknow Division</t>
  </si>
  <si>
    <t>Lucknow GPO Division</t>
  </si>
  <si>
    <t>Rae Bareilly Division</t>
  </si>
  <si>
    <t>Sitapur Division</t>
  </si>
  <si>
    <t>Lucknow HQ Region Total</t>
  </si>
  <si>
    <t>Prayagraj Region</t>
  </si>
  <si>
    <t>Mirzapur Division</t>
  </si>
  <si>
    <t>Pratapgarh Division</t>
  </si>
  <si>
    <t>Prayagraj Division</t>
  </si>
  <si>
    <t>Sultanpur Division</t>
  </si>
  <si>
    <t>Prayagraj Region Total</t>
  </si>
  <si>
    <t>Varanasi Region</t>
  </si>
  <si>
    <t>Ballia Division</t>
  </si>
  <si>
    <t>Ghazipur Division</t>
  </si>
  <si>
    <t>Jaunpur Division</t>
  </si>
  <si>
    <t>Varanasi East Division</t>
  </si>
  <si>
    <t>Varanasi West Division</t>
  </si>
  <si>
    <t>Varanasi Region Total</t>
  </si>
  <si>
    <t>UP Circle</t>
  </si>
  <si>
    <t>UP Circle Total</t>
  </si>
  <si>
    <t xml:space="preserve">PERFORMANCE of UP CIRCLE in 05 operational parameters </t>
  </si>
  <si>
    <t>s.No</t>
  </si>
  <si>
    <t>Verticals</t>
  </si>
  <si>
    <t>Agra</t>
  </si>
  <si>
    <t>Bareilly</t>
  </si>
  <si>
    <t>CHQ</t>
  </si>
  <si>
    <t>Gorakhpur</t>
  </si>
  <si>
    <t>Kanpur</t>
  </si>
  <si>
    <t>Lucknow</t>
  </si>
  <si>
    <t>Prayagraj</t>
  </si>
  <si>
    <t>Varanasi</t>
  </si>
  <si>
    <t xml:space="preserve">Total of UP Circle </t>
  </si>
  <si>
    <t xml:space="preserve">% growth in mail traffic over corresponding month of last financial year (6)
</t>
  </si>
  <si>
    <t>%Growth in Parcel Traffic over corresponding month of last financial year (10)</t>
  </si>
  <si>
    <t>% Digital Transactions for CoD Parcels (for which payment through Digital Mode) (6)</t>
  </si>
  <si>
    <t>% growth in shipments booked for foreign destination over corresponding month of last financial year. (5)</t>
  </si>
  <si>
    <t>% growth in shipments booked on DNK portal over corresponding month of last financial year (5 )</t>
  </si>
  <si>
    <t>max - : 32 points</t>
  </si>
  <si>
    <t>% growth in mail traffic over corresponding month of last financial year (6)</t>
  </si>
  <si>
    <t>S/N</t>
  </si>
  <si>
    <t>Region</t>
  </si>
  <si>
    <t>Division</t>
  </si>
  <si>
    <t>Domestic Mails</t>
  </si>
  <si>
    <t>DNK shipments</t>
  </si>
  <si>
    <t>May 2026 (1-20)</t>
  </si>
  <si>
    <t>Growth</t>
  </si>
  <si>
    <t>Growth %</t>
  </si>
  <si>
    <t>Score</t>
  </si>
  <si>
    <t>May 2026 (1-22)</t>
  </si>
  <si>
    <t>Count</t>
  </si>
  <si>
    <t>in count</t>
  </si>
  <si>
    <t>in %</t>
  </si>
  <si>
    <t>out of 6</t>
  </si>
  <si>
    <t>out of 5</t>
  </si>
  <si>
    <t>RMS X Dn Jhansi Jhansi</t>
  </si>
  <si>
    <t>TOTAL</t>
  </si>
  <si>
    <t>RMS BL DIVISION</t>
  </si>
  <si>
    <t>RMS SH Dn Saharanpur</t>
  </si>
  <si>
    <t>RMS G Dn Gorakhpur</t>
  </si>
  <si>
    <t>RMS KP DN</t>
  </si>
  <si>
    <t>SSRM RMS O Dn Lucknow</t>
  </si>
  <si>
    <t>RMS A Dn</t>
  </si>
  <si>
    <t>UP Circle Total:</t>
  </si>
  <si>
    <t>Domestic Parcel</t>
  </si>
  <si>
    <t>out of 10</t>
  </si>
  <si>
    <t>Agra Region TOTAL</t>
  </si>
  <si>
    <t>CHQ Region TOTAL</t>
  </si>
  <si>
    <t xml:space="preserve">Weekly report of Digital COD Collection (Count) Summary Report ( Target = 50% Digital Transaction by the end of May 2026) </t>
  </si>
  <si>
    <t>Period -- &gt;&gt;</t>
  </si>
  <si>
    <t>01st to 07th May 2026</t>
  </si>
  <si>
    <t>08th to 14th May 2026</t>
  </si>
  <si>
    <t>15th to 20th May 2026</t>
  </si>
  <si>
    <t>May 2026 (overall)</t>
  </si>
  <si>
    <t>Score ( out of 6)</t>
  </si>
  <si>
    <t xml:space="preserve">Agra Region </t>
  </si>
  <si>
    <t xml:space="preserve">Gorakhpur Region </t>
  </si>
  <si>
    <t>Gorakhpur  Region Total</t>
  </si>
  <si>
    <t xml:space="preserve">Bareilly Region </t>
  </si>
  <si>
    <t xml:space="preserve">FINAL SCORE </t>
  </si>
  <si>
    <t>Max score - 6</t>
  </si>
  <si>
    <t xml:space="preserve">Score achieved -: </t>
  </si>
  <si>
    <t>International Mails</t>
  </si>
  <si>
    <t>Bareilly Region TOTAL</t>
  </si>
  <si>
    <t>Gorakhpur Region TOTAL</t>
  </si>
  <si>
    <t>Kanpur Region TOTAL</t>
  </si>
  <si>
    <t>Lucknow HQ Region TOTAL</t>
  </si>
  <si>
    <t>Prayagraj Region TOTAL</t>
  </si>
  <si>
    <t>Varanasi Region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</si>
</sst>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yyyy"/>
  </numFmts>
  <fonts count="21">
    <font>
      <sz val="10.0"/>
      <color rgb="FF000000"/>
      <name val="Arial"/>
      <scheme val="minor"/>
    </font>
    <font>
      <sz val="11.0"/>
      <color rgb="FF000000"/>
      <name val="Calibri"/>
    </font>
    <font>
      <b/>
      <u/>
      <sz val="14.0"/>
      <color rgb="FF000000"/>
      <name val="Calibri"/>
    </font>
    <font>
      <b/>
      <u/>
      <sz val="14.0"/>
      <color rgb="FF000000"/>
      <name val="Calibri"/>
    </font>
    <font/>
    <font>
      <b/>
      <sz val="11.0"/>
      <color rgb="FFFFFFFF"/>
      <name val="Arial"/>
    </font>
    <font>
      <b/>
      <sz val="11.0"/>
      <color rgb="FF000000"/>
      <name val="Arial"/>
    </font>
    <font>
      <sz val="11.0"/>
      <color rgb="FF000000"/>
      <name val="Arial"/>
    </font>
    <font>
      <b/>
      <sz val="11.0"/>
      <color rgb="FF000000"/>
      <name val="Calibri"/>
    </font>
    <font>
      <b/>
      <color theme="1"/>
      <name val="Arial"/>
      <scheme val="minor"/>
    </font>
    <font>
      <b/>
      <sz val="12.0"/>
      <color rgb="FF000000"/>
      <name val="Arial"/>
    </font>
    <font>
      <b/>
      <sz val="12.0"/>
      <color rgb="FF000000"/>
      <name val="Calibri"/>
    </font>
    <font>
      <color theme="1"/>
      <name val="Arial"/>
      <scheme val="minor"/>
    </font>
    <font>
      <u/>
      <color rgb="FF0000FF"/>
    </font>
    <font>
      <sz val="11.0"/>
      <color rgb="FF000000"/>
      <name val="&quot;Times New Roman&quot;"/>
    </font>
    <font>
      <b/>
      <i/>
      <sz val="11.0"/>
      <color theme="1"/>
      <name val="Calibri"/>
    </font>
    <font>
      <i/>
      <sz val="11.0"/>
      <color theme="1"/>
      <name val="Calibri"/>
    </font>
    <font>
      <i/>
      <sz val="11.0"/>
      <color rgb="FF000000"/>
      <name val="Calibri"/>
    </font>
    <font>
      <b/>
      <i/>
      <sz val="11.0"/>
      <color rgb="FF000000"/>
      <name val="Calibri"/>
    </font>
    <font>
      <b/>
      <u/>
      <sz val="11.0"/>
      <color rgb="FF000000"/>
      <name val="&quot;Times New Roman&quot;"/>
    </font>
    <font>
      <b/>
      <u/>
      <sz val="14.0"/>
      <color rgb="FF000000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0817E"/>
        <bgColor rgb="FFF0817E"/>
      </patternFill>
    </fill>
    <fill>
      <patternFill patternType="solid">
        <fgColor rgb="FF92D050"/>
        <bgColor rgb="FF92D050"/>
      </patternFill>
    </fill>
    <fill>
      <patternFill patternType="solid">
        <fgColor rgb="FFC5D9F1"/>
        <bgColor rgb="FFC5D9F1"/>
      </patternFill>
    </fill>
    <fill>
      <patternFill patternType="solid">
        <fgColor rgb="FFE6B8B7"/>
        <bgColor rgb="FFE6B8B7"/>
      </patternFill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D0CECE"/>
        <bgColor rgb="FFD0CECE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DA9694"/>
        <bgColor rgb="FFDA9694"/>
      </patternFill>
    </fill>
  </fills>
  <borders count="11">
    <border/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1"/>
    </xf>
    <xf borderId="0" fillId="0" fontId="1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4" numFmtId="0" xfId="0" applyBorder="1" applyFont="1"/>
    <xf borderId="2" fillId="2" fontId="5" numFmtId="0" xfId="0" applyAlignment="1" applyBorder="1" applyFill="1" applyFont="1">
      <alignment horizontal="center" readingOrder="0" shrinkToFit="0" wrapText="1"/>
    </xf>
    <xf borderId="3" fillId="3" fontId="5" numFmtId="0" xfId="0" applyAlignment="1" applyBorder="1" applyFill="1" applyFont="1">
      <alignment horizontal="center" readingOrder="0" shrinkToFit="0" wrapText="1"/>
    </xf>
    <xf borderId="4" fillId="3" fontId="5" numFmtId="0" xfId="0" applyAlignment="1" applyBorder="1" applyFont="1">
      <alignment horizontal="center" readingOrder="0" shrinkToFit="0" wrapText="1"/>
    </xf>
    <xf borderId="5" fillId="4" fontId="6" numFmtId="0" xfId="0" applyAlignment="1" applyBorder="1" applyFill="1" applyFont="1">
      <alignment horizontal="center" readingOrder="0" shrinkToFit="0" wrapText="1"/>
    </xf>
    <xf borderId="3" fillId="5" fontId="7" numFmtId="0" xfId="0" applyAlignment="1" applyBorder="1" applyFill="1" applyFont="1">
      <alignment horizontal="center" readingOrder="0" shrinkToFit="0" wrapText="1"/>
    </xf>
    <xf borderId="1" fillId="5" fontId="7" numFmtId="0" xfId="0" applyAlignment="1" applyBorder="1" applyFont="1">
      <alignment horizontal="center" readingOrder="0" shrinkToFit="0" wrapText="1"/>
    </xf>
    <xf borderId="3" fillId="6" fontId="1" numFmtId="10" xfId="0" applyAlignment="1" applyBorder="1" applyFill="1" applyFont="1" applyNumberFormat="1">
      <alignment horizontal="center" readingOrder="0" shrinkToFit="0" vertical="bottom" wrapText="1"/>
    </xf>
    <xf borderId="3" fillId="7" fontId="1" numFmtId="10" xfId="0" applyAlignment="1" applyBorder="1" applyFill="1" applyFont="1" applyNumberFormat="1">
      <alignment horizontal="center" readingOrder="0" shrinkToFit="0" vertical="bottom" wrapText="1"/>
    </xf>
    <xf borderId="3" fillId="0" fontId="1" numFmtId="10" xfId="0" applyAlignment="1" applyBorder="1" applyFont="1" applyNumberFormat="1">
      <alignment horizontal="center" readingOrder="0" shrinkToFit="0" vertical="bottom" wrapText="1"/>
    </xf>
    <xf borderId="3" fillId="4" fontId="1" numFmtId="0" xfId="0" applyAlignment="1" applyBorder="1" applyFont="1">
      <alignment horizontal="center" readingOrder="0" shrinkToFit="0" wrapText="1"/>
    </xf>
    <xf borderId="3" fillId="4" fontId="6" numFmtId="0" xfId="0" applyAlignment="1" applyBorder="1" applyFont="1">
      <alignment horizontal="center" readingOrder="0" shrinkToFit="0" wrapText="1"/>
    </xf>
    <xf borderId="1" fillId="4" fontId="6" numFmtId="0" xfId="0" applyAlignment="1" applyBorder="1" applyFont="1">
      <alignment horizontal="center" readingOrder="0" shrinkToFit="0" wrapText="1"/>
    </xf>
    <xf borderId="3" fillId="8" fontId="8" numFmtId="10" xfId="0" applyAlignment="1" applyBorder="1" applyFill="1" applyFont="1" applyNumberFormat="1">
      <alignment horizontal="center" readingOrder="0" shrinkToFit="0" vertical="bottom" wrapText="1"/>
    </xf>
    <xf borderId="6" fillId="4" fontId="6" numFmtId="0" xfId="0" applyAlignment="1" applyBorder="1" applyFont="1">
      <alignment horizontal="center" readingOrder="0" shrinkToFit="0" wrapText="1"/>
    </xf>
    <xf borderId="7" fillId="5" fontId="7" numFmtId="0" xfId="0" applyAlignment="1" applyBorder="1" applyFont="1">
      <alignment horizontal="center" readingOrder="0" shrinkToFit="0" wrapText="1"/>
    </xf>
    <xf borderId="3" fillId="7" fontId="8" numFmtId="10" xfId="0" applyAlignment="1" applyBorder="1" applyFont="1" applyNumberFormat="1">
      <alignment horizontal="center" readingOrder="0" shrinkToFit="0" vertical="bottom" wrapText="1"/>
    </xf>
    <xf borderId="7" fillId="4" fontId="6" numFmtId="0" xfId="0" applyAlignment="1" applyBorder="1" applyFont="1">
      <alignment horizontal="center" readingOrder="0" shrinkToFit="0" wrapText="1"/>
    </xf>
    <xf borderId="3" fillId="6" fontId="8" numFmtId="10" xfId="0" applyAlignment="1" applyBorder="1" applyFont="1" applyNumberFormat="1">
      <alignment horizontal="center" readingOrder="0" shrinkToFit="0" vertical="bottom" wrapText="1"/>
    </xf>
    <xf borderId="3" fillId="9" fontId="7" numFmtId="0" xfId="0" applyAlignment="1" applyBorder="1" applyFill="1" applyFont="1">
      <alignment horizontal="center" readingOrder="0" shrinkToFit="0" wrapText="1"/>
    </xf>
    <xf borderId="3" fillId="10" fontId="7" numFmtId="0" xfId="0" applyAlignment="1" applyBorder="1" applyFill="1" applyFont="1">
      <alignment horizontal="center" readingOrder="0" shrinkToFit="0" wrapText="1"/>
    </xf>
    <xf borderId="7" fillId="10" fontId="7" numFmtId="0" xfId="0" applyAlignment="1" applyBorder="1" applyFont="1">
      <alignment horizontal="center" readingOrder="0" shrinkToFit="0" wrapText="1"/>
    </xf>
    <xf borderId="1" fillId="10" fontId="7" numFmtId="0" xfId="0" applyAlignment="1" applyBorder="1" applyFont="1">
      <alignment horizontal="center" readingOrder="0" shrinkToFit="0" wrapText="1"/>
    </xf>
    <xf borderId="0" fillId="4" fontId="6" numFmtId="0" xfId="0" applyAlignment="1" applyFont="1">
      <alignment horizontal="center" readingOrder="0" shrinkToFit="0" wrapText="1"/>
    </xf>
    <xf borderId="6" fillId="0" fontId="9" numFmtId="0" xfId="0" applyAlignment="1" applyBorder="1" applyFont="1">
      <alignment readingOrder="0"/>
    </xf>
    <xf borderId="3" fillId="11" fontId="10" numFmtId="0" xfId="0" applyAlignment="1" applyBorder="1" applyFill="1" applyFont="1">
      <alignment horizontal="center" readingOrder="0" shrinkToFit="0" vertical="bottom" wrapText="1"/>
    </xf>
    <xf borderId="1" fillId="11" fontId="10" numFmtId="3" xfId="0" applyAlignment="1" applyBorder="1" applyFont="1" applyNumberFormat="1">
      <alignment horizontal="center" readingOrder="0" shrinkToFit="0" vertical="bottom" wrapText="1"/>
    </xf>
    <xf borderId="3" fillId="8" fontId="11" numFmtId="9" xfId="0" applyAlignment="1" applyBorder="1" applyFont="1" applyNumberFormat="1">
      <alignment horizontal="center" readingOrder="0" shrinkToFit="0" vertical="bottom" wrapText="1"/>
    </xf>
    <xf borderId="0" fillId="0" fontId="12" numFmtId="0" xfId="0" applyAlignment="1" applyFont="1">
      <alignment horizontal="center" readingOrder="0"/>
    </xf>
    <xf borderId="3" fillId="0" fontId="13" numFmtId="0" xfId="0" applyAlignment="1" applyBorder="1" applyFont="1">
      <alignment readingOrder="0"/>
    </xf>
    <xf borderId="3" fillId="0" fontId="12" numFmtId="0" xfId="0" applyAlignment="1" applyBorder="1" applyFont="1">
      <alignment readingOrder="0" shrinkToFit="0" wrapText="1"/>
    </xf>
    <xf borderId="3" fillId="0" fontId="12" numFmtId="0" xfId="0" applyAlignment="1" applyBorder="1" applyFont="1">
      <alignment readingOrder="0"/>
    </xf>
    <xf borderId="3" fillId="12" fontId="12" numFmtId="0" xfId="0" applyAlignment="1" applyBorder="1" applyFill="1" applyFont="1">
      <alignment readingOrder="0"/>
    </xf>
    <xf borderId="3" fillId="0" fontId="12" numFmtId="0" xfId="0" applyAlignment="1" applyBorder="1" applyFont="1">
      <alignment horizontal="center" readingOrder="0" vertical="center"/>
    </xf>
    <xf borderId="3" fillId="12" fontId="12" numFmtId="0" xfId="0" applyAlignment="1" applyBorder="1" applyFont="1">
      <alignment horizontal="center" readingOrder="0" vertical="center"/>
    </xf>
    <xf borderId="3" fillId="0" fontId="14" numFmtId="0" xfId="0" applyAlignment="1" applyBorder="1" applyFont="1">
      <alignment readingOrder="0" shrinkToFit="0" vertical="bottom" wrapText="1"/>
    </xf>
    <xf borderId="3" fillId="0" fontId="12" numFmtId="0" xfId="0" applyBorder="1" applyFont="1"/>
    <xf borderId="3" fillId="12" fontId="12" numFmtId="0" xfId="0" applyBorder="1" applyFont="1"/>
    <xf borderId="0" fillId="0" fontId="12" numFmtId="0" xfId="0" applyAlignment="1" applyFont="1">
      <alignment shrinkToFit="0" wrapText="1"/>
    </xf>
    <xf borderId="0" fillId="12" fontId="12" numFmtId="0" xfId="0" applyFont="1"/>
    <xf borderId="0" fillId="13" fontId="8" numFmtId="0" xfId="0" applyAlignment="1" applyFill="1" applyFont="1">
      <alignment horizontal="center" readingOrder="0" shrinkToFit="0" wrapText="0"/>
    </xf>
    <xf borderId="0" fillId="14" fontId="8" numFmtId="0" xfId="0" applyAlignment="1" applyFill="1" applyFont="1">
      <alignment horizontal="center" readingOrder="0" shrinkToFit="0" wrapText="0"/>
    </xf>
    <xf borderId="6" fillId="13" fontId="8" numFmtId="0" xfId="0" applyAlignment="1" applyBorder="1" applyFont="1">
      <alignment horizontal="center" readingOrder="0" shrinkToFit="0" wrapText="0"/>
    </xf>
    <xf borderId="6" fillId="13" fontId="8" numFmtId="0" xfId="0" applyAlignment="1" applyBorder="1" applyFont="1">
      <alignment horizontal="center" readingOrder="0" shrinkToFit="0" vertical="center" wrapText="1"/>
    </xf>
    <xf borderId="6" fillId="13" fontId="8" numFmtId="0" xfId="0" applyAlignment="1" applyBorder="1" applyFont="1">
      <alignment horizontal="center" readingOrder="0" shrinkToFit="0" wrapText="1"/>
    </xf>
    <xf borderId="8" fillId="15" fontId="8" numFmtId="0" xfId="0" applyAlignment="1" applyBorder="1" applyFill="1" applyFont="1">
      <alignment horizontal="center" readingOrder="0" shrinkToFit="0" wrapText="0"/>
    </xf>
    <xf borderId="7" fillId="0" fontId="4" numFmtId="0" xfId="0" applyBorder="1" applyFont="1"/>
    <xf borderId="9" fillId="0" fontId="4" numFmtId="0" xfId="0" applyBorder="1" applyFont="1"/>
    <xf borderId="8" fillId="14" fontId="8" numFmtId="0" xfId="0" applyAlignment="1" applyBorder="1" applyFont="1">
      <alignment horizontal="center" readingOrder="0" shrinkToFit="0" wrapText="0"/>
    </xf>
    <xf borderId="5" fillId="0" fontId="4" numFmtId="0" xfId="0" applyBorder="1" applyFont="1"/>
    <xf borderId="3" fillId="15" fontId="8" numFmtId="164" xfId="0" applyAlignment="1" applyBorder="1" applyFont="1" applyNumberFormat="1">
      <alignment horizontal="center" readingOrder="0" shrinkToFit="0" wrapText="0"/>
    </xf>
    <xf borderId="3" fillId="15" fontId="8" numFmtId="0" xfId="0" applyAlignment="1" applyBorder="1" applyFont="1">
      <alignment horizontal="center" readingOrder="0"/>
    </xf>
    <xf borderId="3" fillId="15" fontId="8" numFmtId="2" xfId="0" applyAlignment="1" applyBorder="1" applyFont="1" applyNumberFormat="1">
      <alignment horizontal="center" readingOrder="0"/>
    </xf>
    <xf borderId="3" fillId="14" fontId="8" numFmtId="164" xfId="0" applyAlignment="1" applyBorder="1" applyFont="1" applyNumberFormat="1">
      <alignment horizontal="center" readingOrder="0" shrinkToFit="0" wrapText="0"/>
    </xf>
    <xf borderId="3" fillId="14" fontId="8" numFmtId="0" xfId="0" applyAlignment="1" applyBorder="1" applyFont="1">
      <alignment horizontal="center" readingOrder="0"/>
    </xf>
    <xf borderId="3" fillId="14" fontId="8" numFmtId="2" xfId="0" applyAlignment="1" applyBorder="1" applyFont="1" applyNumberFormat="1">
      <alignment horizontal="center" readingOrder="0"/>
    </xf>
    <xf borderId="10" fillId="0" fontId="4" numFmtId="0" xfId="0" applyBorder="1" applyFont="1"/>
    <xf borderId="3" fillId="15" fontId="8" numFmtId="0" xfId="0" applyAlignment="1" applyBorder="1" applyFont="1">
      <alignment horizontal="center" readingOrder="0" shrinkToFit="0" wrapText="0"/>
    </xf>
    <xf borderId="3" fillId="15" fontId="8" numFmtId="2" xfId="0" applyAlignment="1" applyBorder="1" applyFont="1" applyNumberFormat="1">
      <alignment horizontal="center" readingOrder="0" shrinkToFit="0" wrapText="0"/>
    </xf>
    <xf borderId="3" fillId="14" fontId="8" numFmtId="0" xfId="0" applyAlignment="1" applyBorder="1" applyFont="1">
      <alignment horizontal="center" readingOrder="0" shrinkToFit="0" wrapText="0"/>
    </xf>
    <xf borderId="3" fillId="14" fontId="8" numFmtId="2" xfId="0" applyAlignment="1" applyBorder="1" applyFont="1" applyNumberFormat="1">
      <alignment horizontal="center" readingOrder="0" shrinkToFit="0" wrapText="0"/>
    </xf>
    <xf borderId="3" fillId="0" fontId="8" numFmtId="0" xfId="0" applyAlignment="1" applyBorder="1" applyFont="1">
      <alignment horizontal="center" readingOrder="0" shrinkToFit="0" wrapText="0"/>
    </xf>
    <xf borderId="3" fillId="0" fontId="15" numFmtId="0" xfId="0" applyAlignment="1" applyBorder="1" applyFont="1">
      <alignment horizontal="center" readingOrder="0" shrinkToFit="0" wrapText="1"/>
    </xf>
    <xf borderId="3" fillId="0" fontId="16" numFmtId="0" xfId="0" applyAlignment="1" applyBorder="1" applyFont="1">
      <alignment horizontal="center" readingOrder="0" shrinkToFit="0" wrapText="0"/>
    </xf>
    <xf borderId="3" fillId="0" fontId="17" numFmtId="0" xfId="0" applyAlignment="1" applyBorder="1" applyFont="1">
      <alignment horizontal="center" readingOrder="0" shrinkToFit="0" wrapText="0"/>
    </xf>
    <xf borderId="3" fillId="0" fontId="17" numFmtId="2" xfId="0" applyAlignment="1" applyBorder="1" applyFont="1" applyNumberFormat="1">
      <alignment horizontal="center" readingOrder="0" shrinkToFit="0" wrapText="0"/>
    </xf>
    <xf borderId="0" fillId="0" fontId="12" numFmtId="2" xfId="0" applyFont="1" applyNumberFormat="1"/>
    <xf borderId="3" fillId="0" fontId="8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wrapText="0"/>
    </xf>
    <xf borderId="3" fillId="16" fontId="8" numFmtId="0" xfId="0" applyAlignment="1" applyBorder="1" applyFill="1" applyFont="1">
      <alignment horizontal="center" shrinkToFit="0" wrapText="0"/>
    </xf>
    <xf borderId="3" fillId="16" fontId="8" numFmtId="0" xfId="0" applyAlignment="1" applyBorder="1" applyFont="1">
      <alignment horizontal="center" readingOrder="0" shrinkToFit="0" wrapText="1"/>
    </xf>
    <xf borderId="3" fillId="16" fontId="8" numFmtId="0" xfId="0" applyAlignment="1" applyBorder="1" applyFont="1">
      <alignment horizontal="center" readingOrder="0" shrinkToFit="0" wrapText="0"/>
    </xf>
    <xf borderId="3" fillId="16" fontId="18" numFmtId="0" xfId="0" applyAlignment="1" applyBorder="1" applyFont="1">
      <alignment horizontal="center" readingOrder="0" shrinkToFit="0" wrapText="0"/>
    </xf>
    <xf borderId="3" fillId="16" fontId="18" numFmtId="2" xfId="0" applyAlignment="1" applyBorder="1" applyFont="1" applyNumberFormat="1">
      <alignment horizontal="center" readingOrder="0" shrinkToFit="0" wrapText="0"/>
    </xf>
    <xf borderId="0" fillId="16" fontId="9" numFmtId="0" xfId="0" applyAlignment="1" applyFont="1">
      <alignment readingOrder="0"/>
    </xf>
    <xf borderId="0" fillId="16" fontId="9" numFmtId="0" xfId="0" applyFont="1"/>
    <xf borderId="0" fillId="16" fontId="9" numFmtId="2" xfId="0" applyFont="1" applyNumberFormat="1"/>
    <xf borderId="3" fillId="17" fontId="8" numFmtId="0" xfId="0" applyAlignment="1" applyBorder="1" applyFill="1" applyFont="1">
      <alignment horizontal="center" shrinkToFit="0" wrapText="0"/>
    </xf>
    <xf borderId="3" fillId="17" fontId="8" numFmtId="0" xfId="0" applyAlignment="1" applyBorder="1" applyFont="1">
      <alignment horizontal="center" readingOrder="0" shrinkToFit="0" wrapText="1"/>
    </xf>
    <xf borderId="3" fillId="17" fontId="8" numFmtId="0" xfId="0" applyAlignment="1" applyBorder="1" applyFont="1">
      <alignment horizontal="center" readingOrder="0" shrinkToFit="0" wrapText="0"/>
    </xf>
    <xf borderId="3" fillId="17" fontId="18" numFmtId="0" xfId="0" applyAlignment="1" applyBorder="1" applyFont="1">
      <alignment horizontal="center" readingOrder="0" shrinkToFit="0" wrapText="0"/>
    </xf>
    <xf borderId="3" fillId="17" fontId="18" numFmtId="2" xfId="0" applyAlignment="1" applyBorder="1" applyFont="1" applyNumberFormat="1">
      <alignment horizontal="center" readingOrder="0" shrinkToFit="0" wrapText="0"/>
    </xf>
    <xf borderId="0" fillId="17" fontId="9" numFmtId="0" xfId="0" applyAlignment="1" applyFont="1">
      <alignment readingOrder="0"/>
    </xf>
    <xf borderId="0" fillId="17" fontId="9" numFmtId="0" xfId="0" applyFont="1"/>
    <xf borderId="3" fillId="16" fontId="8" numFmtId="0" xfId="0" applyAlignment="1" applyBorder="1" applyFont="1">
      <alignment horizontal="center" shrinkToFit="0" wrapText="1"/>
    </xf>
    <xf borderId="3" fillId="16" fontId="8" numFmtId="0" xfId="0" applyAlignment="1" applyBorder="1" applyFont="1">
      <alignment horizontal="center" readingOrder="0" shrinkToFit="0" wrapText="1"/>
    </xf>
    <xf borderId="0" fillId="16" fontId="9" numFmtId="0" xfId="0" applyAlignment="1" applyFont="1">
      <alignment readingOrder="0" shrinkToFit="0" wrapText="1"/>
    </xf>
    <xf borderId="0" fillId="16" fontId="9" numFmtId="0" xfId="0" applyAlignment="1" applyFont="1">
      <alignment shrinkToFit="0" wrapText="1"/>
    </xf>
    <xf borderId="3" fillId="16" fontId="17" numFmtId="2" xfId="0" applyAlignment="1" applyBorder="1" applyFont="1" applyNumberFormat="1">
      <alignment horizontal="center" readingOrder="0" shrinkToFit="0" wrapText="0"/>
    </xf>
    <xf borderId="3" fillId="16" fontId="8" numFmtId="0" xfId="0" applyAlignment="1" applyBorder="1" applyFont="1">
      <alignment horizontal="center" readingOrder="0" shrinkToFit="0" wrapText="0"/>
    </xf>
    <xf borderId="3" fillId="0" fontId="15" numFmtId="0" xfId="0" applyAlignment="1" applyBorder="1" applyFont="1">
      <alignment horizontal="center" readingOrder="0" shrinkToFit="0" vertical="center" wrapText="1"/>
    </xf>
    <xf borderId="3" fillId="16" fontId="8" numFmtId="0" xfId="0" applyAlignment="1" applyBorder="1" applyFont="1">
      <alignment readingOrder="0" shrinkToFit="0" wrapText="1"/>
    </xf>
    <xf borderId="0" fillId="0" fontId="12" numFmtId="0" xfId="0" applyAlignment="1" applyFont="1">
      <alignment shrinkToFit="0" vertical="center" wrapText="1"/>
    </xf>
    <xf borderId="8" fillId="18" fontId="8" numFmtId="0" xfId="0" applyAlignment="1" applyBorder="1" applyFill="1" applyFont="1">
      <alignment horizontal="center" readingOrder="0" shrinkToFit="0" wrapText="0"/>
    </xf>
    <xf borderId="3" fillId="18" fontId="8" numFmtId="164" xfId="0" applyAlignment="1" applyBorder="1" applyFont="1" applyNumberFormat="1">
      <alignment horizontal="center" readingOrder="0" shrinkToFit="0" wrapText="0"/>
    </xf>
    <xf borderId="3" fillId="18" fontId="8" numFmtId="0" xfId="0" applyAlignment="1" applyBorder="1" applyFont="1">
      <alignment horizontal="center" readingOrder="0"/>
    </xf>
    <xf borderId="3" fillId="18" fontId="8" numFmtId="2" xfId="0" applyAlignment="1" applyBorder="1" applyFont="1" applyNumberFormat="1">
      <alignment horizontal="center" readingOrder="0"/>
    </xf>
    <xf borderId="3" fillId="18" fontId="8" numFmtId="0" xfId="0" applyAlignment="1" applyBorder="1" applyFont="1">
      <alignment horizontal="center" readingOrder="0" shrinkToFit="0" wrapText="0"/>
    </xf>
    <xf borderId="3" fillId="18" fontId="8" numFmtId="2" xfId="0" applyAlignment="1" applyBorder="1" applyFont="1" applyNumberFormat="1">
      <alignment horizontal="center" readingOrder="0" shrinkToFit="0" wrapText="0"/>
    </xf>
    <xf borderId="8" fillId="0" fontId="19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20" numFmtId="0" xfId="0" applyAlignment="1" applyFont="1">
      <alignment readingOrder="0" shrinkToFit="0" vertical="bottom" wrapText="1"/>
    </xf>
    <xf borderId="8" fillId="3" fontId="5" numFmtId="0" xfId="0" applyAlignment="1" applyBorder="1" applyFont="1">
      <alignment horizontal="right" readingOrder="0" shrinkToFit="0" wrapText="1"/>
    </xf>
    <xf borderId="3" fillId="3" fontId="5" numFmtId="0" xfId="0" applyAlignment="1" applyBorder="1" applyFont="1">
      <alignment horizontal="center" readingOrder="0" shrinkToFit="0" wrapText="1"/>
    </xf>
    <xf borderId="5" fillId="3" fontId="5" numFmtId="0" xfId="0" applyAlignment="1" applyBorder="1" applyFont="1">
      <alignment horizontal="center" readingOrder="0" shrinkToFit="0" wrapText="1"/>
    </xf>
    <xf borderId="3" fillId="5" fontId="7" numFmtId="0" xfId="0" applyAlignment="1" applyBorder="1" applyFont="1">
      <alignment horizontal="left" readingOrder="0" shrinkToFit="0" wrapText="1"/>
    </xf>
    <xf borderId="3" fillId="0" fontId="12" numFmtId="2" xfId="0" applyAlignment="1" applyBorder="1" applyFont="1" applyNumberFormat="1">
      <alignment horizontal="center"/>
    </xf>
    <xf borderId="3" fillId="19" fontId="1" numFmtId="10" xfId="0" applyAlignment="1" applyBorder="1" applyFill="1" applyFont="1" applyNumberFormat="1">
      <alignment horizontal="center" readingOrder="0" shrinkToFit="0" vertical="bottom" wrapText="1"/>
    </xf>
    <xf borderId="3" fillId="8" fontId="8" numFmtId="0" xfId="0" applyAlignment="1" applyBorder="1" applyFont="1">
      <alignment horizontal="left" readingOrder="0" shrinkToFit="0" wrapText="1"/>
    </xf>
    <xf borderId="3" fillId="8" fontId="8" numFmtId="2" xfId="0" applyAlignment="1" applyBorder="1" applyFont="1" applyNumberFormat="1">
      <alignment horizontal="center" shrinkToFit="0" vertical="bottom" wrapText="1"/>
    </xf>
    <xf borderId="3" fillId="4" fontId="8" numFmtId="0" xfId="0" applyAlignment="1" applyBorder="1" applyFont="1">
      <alignment horizontal="left" readingOrder="0" shrinkToFit="0" wrapText="1"/>
    </xf>
    <xf borderId="3" fillId="19" fontId="8" numFmtId="10" xfId="0" applyAlignment="1" applyBorder="1" applyFont="1" applyNumberFormat="1">
      <alignment horizontal="center" readingOrder="0" shrinkToFit="0" vertical="bottom" wrapText="1"/>
    </xf>
    <xf borderId="3" fillId="9" fontId="7" numFmtId="0" xfId="0" applyAlignment="1" applyBorder="1" applyFont="1">
      <alignment horizontal="left" readingOrder="0" shrinkToFit="0" wrapText="1"/>
    </xf>
    <xf borderId="3" fillId="10" fontId="7" numFmtId="0" xfId="0" applyAlignment="1" applyBorder="1" applyFont="1">
      <alignment horizontal="left" readingOrder="0" shrinkToFit="0" wrapText="1"/>
    </xf>
    <xf borderId="3" fillId="11" fontId="11" numFmtId="0" xfId="0" applyAlignment="1" applyBorder="1" applyFont="1">
      <alignment horizontal="left" readingOrder="0" shrinkToFit="0" vertical="bottom" wrapText="1"/>
    </xf>
    <xf borderId="3" fillId="11" fontId="10" numFmtId="0" xfId="0" applyAlignment="1" applyBorder="1" applyFont="1">
      <alignment horizontal="left" readingOrder="0" shrinkToFit="0" vertical="bottom" wrapText="1"/>
    </xf>
    <xf borderId="0" fillId="0" fontId="12" numFmtId="0" xfId="0" applyAlignment="1" applyFont="1">
      <alignment readingOrder="0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63"/>
  </cols>
  <sheetData>
    <row r="1">
      <c r="A1" s="1" t="s">
        <v>0</v>
      </c>
    </row>
    <row r="2">
      <c r="A2" s="2"/>
      <c r="B2" s="3" t="s">
        <v>1</v>
      </c>
    </row>
    <row r="3">
      <c r="A3" s="4" t="s">
        <v>2</v>
      </c>
      <c r="B3" s="5"/>
      <c r="C3" s="5"/>
      <c r="D3" s="5"/>
      <c r="E3" s="5"/>
      <c r="F3" s="5"/>
      <c r="G3" s="5"/>
    </row>
    <row r="4">
      <c r="A4" s="6" t="s">
        <v>3</v>
      </c>
    </row>
    <row r="5">
      <c r="A5" s="7" t="s">
        <v>4</v>
      </c>
      <c r="B5" s="7" t="s">
        <v>5</v>
      </c>
      <c r="C5" s="7" t="s">
        <v>6</v>
      </c>
      <c r="D5" s="7" t="s">
        <v>7</v>
      </c>
      <c r="E5" s="8" t="s">
        <v>8</v>
      </c>
    </row>
    <row r="6">
      <c r="A6" s="9" t="s">
        <v>9</v>
      </c>
      <c r="B6" s="10" t="s">
        <v>10</v>
      </c>
      <c r="C6" s="10">
        <v>7.0</v>
      </c>
      <c r="D6" s="11">
        <v>32.0</v>
      </c>
      <c r="E6" s="12">
        <v>0.2188</v>
      </c>
    </row>
    <row r="7">
      <c r="A7" s="9" t="s">
        <v>9</v>
      </c>
      <c r="B7" s="10" t="s">
        <v>11</v>
      </c>
      <c r="C7" s="10">
        <v>16.0</v>
      </c>
      <c r="D7" s="11">
        <v>29.0</v>
      </c>
      <c r="E7" s="13">
        <v>0.5517</v>
      </c>
    </row>
    <row r="8">
      <c r="A8" s="9" t="s">
        <v>9</v>
      </c>
      <c r="B8" s="10" t="s">
        <v>12</v>
      </c>
      <c r="C8" s="10">
        <v>19.0</v>
      </c>
      <c r="D8" s="11">
        <v>45.0</v>
      </c>
      <c r="E8" s="14">
        <v>0.4222</v>
      </c>
    </row>
    <row r="9">
      <c r="A9" s="9" t="s">
        <v>9</v>
      </c>
      <c r="B9" s="10" t="s">
        <v>13</v>
      </c>
      <c r="C9" s="10">
        <v>15.0</v>
      </c>
      <c r="D9" s="11">
        <v>19.0</v>
      </c>
      <c r="E9" s="13">
        <v>0.7895</v>
      </c>
    </row>
    <row r="10">
      <c r="A10" s="9" t="s">
        <v>9</v>
      </c>
      <c r="B10" s="10" t="s">
        <v>14</v>
      </c>
      <c r="C10" s="10">
        <v>6.0</v>
      </c>
      <c r="D10" s="11">
        <v>7.0</v>
      </c>
      <c r="E10" s="13">
        <v>0.8571</v>
      </c>
    </row>
    <row r="11">
      <c r="A11" s="9" t="s">
        <v>9</v>
      </c>
      <c r="B11" s="10" t="s">
        <v>15</v>
      </c>
      <c r="C11" s="10">
        <v>25.0</v>
      </c>
      <c r="D11" s="11">
        <v>47.0</v>
      </c>
      <c r="E11" s="13">
        <v>0.5319</v>
      </c>
    </row>
    <row r="12">
      <c r="A12" s="9" t="s">
        <v>9</v>
      </c>
      <c r="B12" s="10" t="s">
        <v>16</v>
      </c>
      <c r="C12" s="10">
        <v>5.0</v>
      </c>
      <c r="D12" s="11">
        <v>19.0</v>
      </c>
      <c r="E12" s="12">
        <v>0.2632</v>
      </c>
    </row>
    <row r="13">
      <c r="A13" s="9" t="s">
        <v>9</v>
      </c>
      <c r="B13" s="10" t="s">
        <v>17</v>
      </c>
      <c r="C13" s="10">
        <v>17.0</v>
      </c>
      <c r="D13" s="11">
        <v>36.0</v>
      </c>
      <c r="E13" s="14">
        <v>0.4722</v>
      </c>
    </row>
    <row r="14">
      <c r="A14" s="9" t="s">
        <v>9</v>
      </c>
      <c r="B14" s="15" t="s">
        <v>18</v>
      </c>
      <c r="C14" s="16">
        <v>110.0</v>
      </c>
      <c r="D14" s="17">
        <v>234.0</v>
      </c>
      <c r="E14" s="18">
        <v>0.4701</v>
      </c>
    </row>
    <row r="15">
      <c r="A15" s="19" t="s">
        <v>19</v>
      </c>
      <c r="B15" s="10" t="s">
        <v>20</v>
      </c>
      <c r="C15" s="10">
        <v>37.0</v>
      </c>
      <c r="D15" s="20">
        <v>48.0</v>
      </c>
      <c r="E15" s="13">
        <v>0.7708</v>
      </c>
    </row>
    <row r="16">
      <c r="A16" s="19" t="s">
        <v>19</v>
      </c>
      <c r="B16" s="10" t="s">
        <v>21</v>
      </c>
      <c r="C16" s="10">
        <v>32.0</v>
      </c>
      <c r="D16" s="11">
        <v>52.0</v>
      </c>
      <c r="E16" s="13">
        <v>0.6154</v>
      </c>
    </row>
    <row r="17">
      <c r="A17" s="19" t="s">
        <v>19</v>
      </c>
      <c r="B17" s="10" t="s">
        <v>22</v>
      </c>
      <c r="C17" s="10">
        <v>35.0</v>
      </c>
      <c r="D17" s="11">
        <v>50.0</v>
      </c>
      <c r="E17" s="13">
        <v>0.7</v>
      </c>
    </row>
    <row r="18">
      <c r="A18" s="19" t="s">
        <v>19</v>
      </c>
      <c r="B18" s="10" t="s">
        <v>23</v>
      </c>
      <c r="C18" s="10">
        <v>22.0</v>
      </c>
      <c r="D18" s="11">
        <v>31.0</v>
      </c>
      <c r="E18" s="13">
        <v>0.7097</v>
      </c>
    </row>
    <row r="19">
      <c r="A19" s="19" t="s">
        <v>19</v>
      </c>
      <c r="B19" s="10" t="s">
        <v>24</v>
      </c>
      <c r="C19" s="10">
        <v>13.0</v>
      </c>
      <c r="D19" s="11">
        <v>23.0</v>
      </c>
      <c r="E19" s="13">
        <v>0.5652</v>
      </c>
    </row>
    <row r="20">
      <c r="A20" s="19" t="s">
        <v>19</v>
      </c>
      <c r="B20" s="10" t="s">
        <v>25</v>
      </c>
      <c r="C20" s="10">
        <v>33.0</v>
      </c>
      <c r="D20" s="11">
        <v>37.0</v>
      </c>
      <c r="E20" s="13">
        <v>0.8919</v>
      </c>
    </row>
    <row r="21">
      <c r="A21" s="19" t="s">
        <v>19</v>
      </c>
      <c r="B21" s="10" t="s">
        <v>26</v>
      </c>
      <c r="C21" s="10">
        <v>57.0</v>
      </c>
      <c r="D21" s="11">
        <v>61.0</v>
      </c>
      <c r="E21" s="13">
        <v>0.9344</v>
      </c>
    </row>
    <row r="22">
      <c r="A22" s="19" t="s">
        <v>19</v>
      </c>
      <c r="B22" s="10" t="s">
        <v>27</v>
      </c>
      <c r="C22" s="10">
        <v>51.0</v>
      </c>
      <c r="D22" s="20">
        <v>61.0</v>
      </c>
      <c r="E22" s="13">
        <v>0.8361</v>
      </c>
    </row>
    <row r="23">
      <c r="A23" s="19" t="s">
        <v>19</v>
      </c>
      <c r="B23" s="10" t="s">
        <v>28</v>
      </c>
      <c r="C23" s="10">
        <v>15.0</v>
      </c>
      <c r="D23" s="11">
        <v>21.0</v>
      </c>
      <c r="E23" s="13">
        <v>0.7143</v>
      </c>
    </row>
    <row r="24">
      <c r="A24" s="19" t="s">
        <v>19</v>
      </c>
      <c r="B24" s="10" t="s">
        <v>29</v>
      </c>
      <c r="C24" s="10">
        <v>33.0</v>
      </c>
      <c r="D24" s="11">
        <v>59.0</v>
      </c>
      <c r="E24" s="13">
        <v>0.5593</v>
      </c>
    </row>
    <row r="25">
      <c r="A25" s="19" t="s">
        <v>19</v>
      </c>
      <c r="B25" s="10" t="s">
        <v>30</v>
      </c>
      <c r="C25" s="10">
        <v>18.0</v>
      </c>
      <c r="D25" s="11">
        <v>21.0</v>
      </c>
      <c r="E25" s="13">
        <v>0.8571</v>
      </c>
    </row>
    <row r="26">
      <c r="A26" s="19" t="s">
        <v>19</v>
      </c>
      <c r="B26" s="15" t="s">
        <v>31</v>
      </c>
      <c r="C26" s="16">
        <v>346.0</v>
      </c>
      <c r="D26" s="17">
        <v>464.0</v>
      </c>
      <c r="E26" s="21">
        <v>0.7457</v>
      </c>
    </row>
    <row r="27">
      <c r="A27" s="19" t="s">
        <v>32</v>
      </c>
      <c r="B27" s="10" t="s">
        <v>33</v>
      </c>
      <c r="C27" s="10">
        <v>1.0</v>
      </c>
      <c r="D27" s="11">
        <v>50.0</v>
      </c>
      <c r="E27" s="12">
        <v>0.02</v>
      </c>
    </row>
    <row r="28">
      <c r="A28" s="19" t="s">
        <v>32</v>
      </c>
      <c r="B28" s="10" t="s">
        <v>34</v>
      </c>
      <c r="C28" s="10">
        <v>15.0</v>
      </c>
      <c r="D28" s="11">
        <v>69.0</v>
      </c>
      <c r="E28" s="12">
        <v>0.2174</v>
      </c>
    </row>
    <row r="29">
      <c r="A29" s="19" t="s">
        <v>32</v>
      </c>
      <c r="B29" s="15" t="s">
        <v>35</v>
      </c>
      <c r="C29" s="16">
        <v>16.0</v>
      </c>
      <c r="D29" s="22">
        <v>119.0</v>
      </c>
      <c r="E29" s="23">
        <v>0.1345</v>
      </c>
    </row>
    <row r="30">
      <c r="A30" s="19" t="s">
        <v>36</v>
      </c>
      <c r="B30" s="10" t="s">
        <v>37</v>
      </c>
      <c r="C30" s="10">
        <v>4.0</v>
      </c>
      <c r="D30" s="11">
        <v>35.0</v>
      </c>
      <c r="E30" s="12">
        <v>0.1143</v>
      </c>
    </row>
    <row r="31">
      <c r="A31" s="19" t="s">
        <v>36</v>
      </c>
      <c r="B31" s="10" t="s">
        <v>38</v>
      </c>
      <c r="C31" s="10">
        <v>12.0</v>
      </c>
      <c r="D31" s="11">
        <v>53.0</v>
      </c>
      <c r="E31" s="12">
        <v>0.2264</v>
      </c>
    </row>
    <row r="32">
      <c r="A32" s="19" t="s">
        <v>36</v>
      </c>
      <c r="B32" s="24" t="s">
        <v>39</v>
      </c>
      <c r="C32" s="10">
        <v>0.0</v>
      </c>
      <c r="D32" s="11">
        <v>42.0</v>
      </c>
      <c r="E32" s="12">
        <v>0.0</v>
      </c>
    </row>
    <row r="33">
      <c r="A33" s="19" t="s">
        <v>36</v>
      </c>
      <c r="B33" s="10" t="s">
        <v>40</v>
      </c>
      <c r="C33" s="10">
        <v>2.0</v>
      </c>
      <c r="D33" s="11">
        <v>32.0</v>
      </c>
      <c r="E33" s="12">
        <v>0.0625</v>
      </c>
    </row>
    <row r="34">
      <c r="A34" s="19" t="s">
        <v>36</v>
      </c>
      <c r="B34" s="10" t="s">
        <v>41</v>
      </c>
      <c r="C34" s="10">
        <v>2.0</v>
      </c>
      <c r="D34" s="11">
        <v>52.0</v>
      </c>
      <c r="E34" s="12">
        <v>0.0385</v>
      </c>
    </row>
    <row r="35">
      <c r="A35" s="19" t="s">
        <v>36</v>
      </c>
      <c r="B35" s="24" t="s">
        <v>42</v>
      </c>
      <c r="C35" s="10">
        <v>1.0</v>
      </c>
      <c r="D35" s="11">
        <v>38.0</v>
      </c>
      <c r="E35" s="12">
        <v>0.0263</v>
      </c>
    </row>
    <row r="36">
      <c r="A36" s="19" t="s">
        <v>36</v>
      </c>
      <c r="B36" s="15" t="s">
        <v>43</v>
      </c>
      <c r="C36" s="16">
        <v>21.0</v>
      </c>
      <c r="D36" s="17">
        <v>252.0</v>
      </c>
      <c r="E36" s="23">
        <v>0.0833</v>
      </c>
    </row>
    <row r="37">
      <c r="A37" s="19" t="s">
        <v>44</v>
      </c>
      <c r="B37" s="10" t="s">
        <v>45</v>
      </c>
      <c r="C37" s="10">
        <v>0.0</v>
      </c>
      <c r="D37" s="11">
        <v>18.0</v>
      </c>
      <c r="E37" s="12">
        <v>0.0</v>
      </c>
    </row>
    <row r="38">
      <c r="A38" s="19" t="s">
        <v>44</v>
      </c>
      <c r="B38" s="10" t="s">
        <v>46</v>
      </c>
      <c r="C38" s="10">
        <v>7.0</v>
      </c>
      <c r="D38" s="11">
        <v>23.0</v>
      </c>
      <c r="E38" s="12">
        <v>0.3043</v>
      </c>
    </row>
    <row r="39">
      <c r="A39" s="19" t="s">
        <v>44</v>
      </c>
      <c r="B39" s="10" t="s">
        <v>47</v>
      </c>
      <c r="C39" s="10">
        <v>3.0</v>
      </c>
      <c r="D39" s="11">
        <v>19.0</v>
      </c>
      <c r="E39" s="12">
        <v>0.1579</v>
      </c>
    </row>
    <row r="40">
      <c r="A40" s="19" t="s">
        <v>44</v>
      </c>
      <c r="B40" s="10" t="s">
        <v>48</v>
      </c>
      <c r="C40" s="10">
        <v>2.0</v>
      </c>
      <c r="D40" s="11">
        <v>5.0</v>
      </c>
      <c r="E40" s="14">
        <v>0.4</v>
      </c>
    </row>
    <row r="41">
      <c r="A41" s="19" t="s">
        <v>44</v>
      </c>
      <c r="B41" s="10" t="s">
        <v>49</v>
      </c>
      <c r="C41" s="10">
        <v>4.0</v>
      </c>
      <c r="D41" s="20">
        <v>4.0</v>
      </c>
      <c r="E41" s="13">
        <v>1.0</v>
      </c>
    </row>
    <row r="42">
      <c r="A42" s="19" t="s">
        <v>44</v>
      </c>
      <c r="B42" s="10" t="s">
        <v>50</v>
      </c>
      <c r="C42" s="10">
        <v>5.0</v>
      </c>
      <c r="D42" s="11">
        <v>28.0</v>
      </c>
      <c r="E42" s="12">
        <v>0.1786</v>
      </c>
    </row>
    <row r="43">
      <c r="A43" s="19" t="s">
        <v>44</v>
      </c>
      <c r="B43" s="15" t="s">
        <v>51</v>
      </c>
      <c r="C43" s="16">
        <v>21.0</v>
      </c>
      <c r="D43" s="17">
        <v>97.0</v>
      </c>
      <c r="E43" s="23">
        <v>0.2165</v>
      </c>
    </row>
    <row r="44">
      <c r="A44" s="19" t="s">
        <v>52</v>
      </c>
      <c r="B44" s="10" t="s">
        <v>53</v>
      </c>
      <c r="C44" s="10">
        <v>18.0</v>
      </c>
      <c r="D44" s="11">
        <v>24.0</v>
      </c>
      <c r="E44" s="13">
        <v>0.75</v>
      </c>
    </row>
    <row r="45">
      <c r="A45" s="19" t="s">
        <v>52</v>
      </c>
      <c r="B45" s="10" t="s">
        <v>54</v>
      </c>
      <c r="C45" s="10">
        <v>4.0</v>
      </c>
      <c r="D45" s="11">
        <v>13.0</v>
      </c>
      <c r="E45" s="12">
        <v>0.3077</v>
      </c>
    </row>
    <row r="46">
      <c r="A46" s="19" t="s">
        <v>52</v>
      </c>
      <c r="B46" s="10" t="s">
        <v>55</v>
      </c>
      <c r="C46" s="10">
        <v>6.0</v>
      </c>
      <c r="D46" s="11">
        <v>23.0</v>
      </c>
      <c r="E46" s="12">
        <v>0.2609</v>
      </c>
    </row>
    <row r="47">
      <c r="A47" s="19" t="s">
        <v>52</v>
      </c>
      <c r="B47" s="10" t="s">
        <v>56</v>
      </c>
      <c r="C47" s="10">
        <v>11.0</v>
      </c>
      <c r="D47" s="11">
        <v>18.0</v>
      </c>
      <c r="E47" s="13">
        <v>0.6111</v>
      </c>
    </row>
    <row r="48">
      <c r="A48" s="19" t="s">
        <v>52</v>
      </c>
      <c r="B48" s="10" t="s">
        <v>57</v>
      </c>
      <c r="C48" s="10">
        <v>5.0</v>
      </c>
      <c r="D48" s="20">
        <v>18.0</v>
      </c>
      <c r="E48" s="12">
        <v>0.2778</v>
      </c>
    </row>
    <row r="49">
      <c r="A49" s="19" t="s">
        <v>52</v>
      </c>
      <c r="B49" s="10" t="s">
        <v>58</v>
      </c>
      <c r="C49" s="10">
        <v>4.0</v>
      </c>
      <c r="D49" s="11">
        <v>14.0</v>
      </c>
      <c r="E49" s="12">
        <v>0.2857</v>
      </c>
    </row>
    <row r="50">
      <c r="A50" s="19" t="s">
        <v>52</v>
      </c>
      <c r="B50" s="15" t="s">
        <v>59</v>
      </c>
      <c r="C50" s="16">
        <v>48.0</v>
      </c>
      <c r="D50" s="17">
        <v>110.0</v>
      </c>
      <c r="E50" s="18">
        <v>0.4364</v>
      </c>
    </row>
    <row r="51">
      <c r="A51" s="19" t="s">
        <v>60</v>
      </c>
      <c r="B51" s="25" t="s">
        <v>61</v>
      </c>
      <c r="C51" s="25">
        <v>10.0</v>
      </c>
      <c r="D51" s="26">
        <v>42.0</v>
      </c>
      <c r="E51" s="12">
        <v>0.2381</v>
      </c>
    </row>
    <row r="52">
      <c r="A52" s="19" t="s">
        <v>60</v>
      </c>
      <c r="B52" s="10" t="s">
        <v>62</v>
      </c>
      <c r="C52" s="10">
        <v>3.0</v>
      </c>
      <c r="D52" s="11">
        <v>24.0</v>
      </c>
      <c r="E52" s="12">
        <v>0.125</v>
      </c>
    </row>
    <row r="53">
      <c r="A53" s="19" t="s">
        <v>60</v>
      </c>
      <c r="B53" s="25" t="s">
        <v>63</v>
      </c>
      <c r="C53" s="25">
        <v>14.0</v>
      </c>
      <c r="D53" s="27">
        <v>65.0</v>
      </c>
      <c r="E53" s="12">
        <v>0.2154</v>
      </c>
    </row>
    <row r="54">
      <c r="A54" s="19" t="s">
        <v>60</v>
      </c>
      <c r="B54" s="10" t="s">
        <v>64</v>
      </c>
      <c r="C54" s="10">
        <v>2.0</v>
      </c>
      <c r="D54" s="11">
        <v>19.0</v>
      </c>
      <c r="E54" s="12">
        <v>0.1053</v>
      </c>
    </row>
    <row r="55">
      <c r="A55" s="19" t="s">
        <v>60</v>
      </c>
      <c r="B55" s="15" t="s">
        <v>65</v>
      </c>
      <c r="C55" s="16">
        <v>29.0</v>
      </c>
      <c r="D55" s="17">
        <v>150.0</v>
      </c>
      <c r="E55" s="23">
        <v>0.1933</v>
      </c>
    </row>
    <row r="56">
      <c r="A56" s="19" t="s">
        <v>66</v>
      </c>
      <c r="B56" s="10" t="s">
        <v>67</v>
      </c>
      <c r="C56" s="10">
        <v>9.0</v>
      </c>
      <c r="D56" s="20">
        <v>36.0</v>
      </c>
      <c r="E56" s="12">
        <v>0.25</v>
      </c>
    </row>
    <row r="57">
      <c r="A57" s="19" t="s">
        <v>66</v>
      </c>
      <c r="B57" s="10" t="s">
        <v>68</v>
      </c>
      <c r="C57" s="10">
        <v>3.0</v>
      </c>
      <c r="D57" s="11">
        <v>13.0</v>
      </c>
      <c r="E57" s="12">
        <v>0.2308</v>
      </c>
    </row>
    <row r="58">
      <c r="A58" s="19" t="s">
        <v>66</v>
      </c>
      <c r="B58" s="10" t="s">
        <v>69</v>
      </c>
      <c r="C58" s="10">
        <v>5.0</v>
      </c>
      <c r="D58" s="11">
        <v>19.0</v>
      </c>
      <c r="E58" s="12">
        <v>0.2632</v>
      </c>
    </row>
    <row r="59">
      <c r="A59" s="19" t="s">
        <v>66</v>
      </c>
      <c r="B59" s="10" t="s">
        <v>70</v>
      </c>
      <c r="C59" s="10">
        <v>7.0</v>
      </c>
      <c r="D59" s="11">
        <v>19.0</v>
      </c>
      <c r="E59" s="12">
        <v>0.3684</v>
      </c>
    </row>
    <row r="60">
      <c r="A60" s="19" t="s">
        <v>66</v>
      </c>
      <c r="B60" s="10" t="s">
        <v>71</v>
      </c>
      <c r="C60" s="10">
        <v>9.0</v>
      </c>
      <c r="D60" s="11">
        <v>21.0</v>
      </c>
      <c r="E60" s="14">
        <v>0.4286</v>
      </c>
    </row>
    <row r="61">
      <c r="A61" s="28" t="s">
        <v>66</v>
      </c>
      <c r="B61" s="15" t="s">
        <v>72</v>
      </c>
      <c r="C61" s="16">
        <v>33.0</v>
      </c>
      <c r="D61" s="22">
        <v>108.0</v>
      </c>
      <c r="E61" s="23">
        <v>0.3056</v>
      </c>
    </row>
    <row r="62">
      <c r="A62" s="29" t="s">
        <v>73</v>
      </c>
      <c r="B62" s="30" t="s">
        <v>74</v>
      </c>
      <c r="C62" s="31">
        <f t="shared" ref="C62:D62" si="1">C61+C55+C50+C43+C29+C26+C14</f>
        <v>603</v>
      </c>
      <c r="D62" s="31">
        <f t="shared" si="1"/>
        <v>1282</v>
      </c>
      <c r="E62" s="32">
        <f>C62/D62</f>
        <v>0.4703588144</v>
      </c>
    </row>
    <row r="63">
      <c r="A63" s="2"/>
      <c r="B63" s="2"/>
      <c r="C63" s="2"/>
      <c r="D63" s="2"/>
      <c r="E63" s="2"/>
    </row>
  </sheetData>
  <mergeCells count="4">
    <mergeCell ref="A1:F1"/>
    <mergeCell ref="B2:F2"/>
    <mergeCell ref="A3:G3"/>
    <mergeCell ref="A4:E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11" max="11" width="15.38"/>
  </cols>
  <sheetData>
    <row r="1">
      <c r="A1" s="33" t="s">
        <v>75</v>
      </c>
    </row>
    <row r="2">
      <c r="A2" s="34" t="s">
        <v>76</v>
      </c>
      <c r="B2" s="35" t="s">
        <v>77</v>
      </c>
      <c r="C2" s="36" t="s">
        <v>78</v>
      </c>
      <c r="D2" s="36" t="s">
        <v>79</v>
      </c>
      <c r="E2" s="36" t="s">
        <v>80</v>
      </c>
      <c r="F2" s="36" t="s">
        <v>81</v>
      </c>
      <c r="G2" s="36" t="s">
        <v>82</v>
      </c>
      <c r="H2" s="36" t="s">
        <v>83</v>
      </c>
      <c r="I2" s="36" t="s">
        <v>84</v>
      </c>
      <c r="J2" s="36" t="s">
        <v>85</v>
      </c>
      <c r="K2" s="37" t="s">
        <v>86</v>
      </c>
    </row>
    <row r="3">
      <c r="A3" s="36">
        <v>1.0</v>
      </c>
      <c r="B3" s="35" t="s">
        <v>87</v>
      </c>
      <c r="C3" s="38">
        <v>0.0</v>
      </c>
      <c r="D3" s="38">
        <v>0.0</v>
      </c>
      <c r="E3" s="38">
        <v>0.0</v>
      </c>
      <c r="F3" s="38">
        <v>0.0</v>
      </c>
      <c r="G3" s="38">
        <v>0.0</v>
      </c>
      <c r="H3" s="38">
        <v>0.0</v>
      </c>
      <c r="I3" s="38">
        <v>0.0</v>
      </c>
      <c r="J3" s="38">
        <v>0.0</v>
      </c>
      <c r="K3" s="39">
        <v>0.0</v>
      </c>
    </row>
    <row r="4">
      <c r="A4" s="36">
        <v>2.0</v>
      </c>
      <c r="B4" s="40" t="s">
        <v>88</v>
      </c>
      <c r="C4" s="38">
        <v>0.0</v>
      </c>
      <c r="D4" s="38">
        <v>0.72</v>
      </c>
      <c r="E4" s="38">
        <v>10.0</v>
      </c>
      <c r="F4" s="38">
        <v>0.0</v>
      </c>
      <c r="G4" s="38">
        <v>0.0</v>
      </c>
      <c r="H4" s="38">
        <v>0.62</v>
      </c>
      <c r="I4" s="38">
        <v>0.0</v>
      </c>
      <c r="J4" s="38">
        <v>0.0</v>
      </c>
      <c r="K4" s="39">
        <v>2.27</v>
      </c>
    </row>
    <row r="5">
      <c r="A5" s="36">
        <v>3.0</v>
      </c>
      <c r="B5" s="40" t="s">
        <v>89</v>
      </c>
      <c r="C5" s="38">
        <v>1.1</v>
      </c>
      <c r="D5" s="38">
        <v>1.46</v>
      </c>
      <c r="E5" s="38">
        <v>0.32</v>
      </c>
      <c r="F5" s="38">
        <v>0.1</v>
      </c>
      <c r="G5" s="38">
        <v>0.45</v>
      </c>
      <c r="H5" s="38">
        <v>0.54</v>
      </c>
      <c r="I5" s="38">
        <v>0.34</v>
      </c>
      <c r="J5" s="38">
        <v>0.82</v>
      </c>
      <c r="K5" s="39">
        <v>0.74</v>
      </c>
    </row>
    <row r="6">
      <c r="A6" s="36">
        <v>4.0</v>
      </c>
      <c r="B6" s="40" t="s">
        <v>90</v>
      </c>
      <c r="C6" s="38">
        <v>0.0</v>
      </c>
      <c r="D6" s="38">
        <v>1.89</v>
      </c>
      <c r="E6" s="38">
        <v>0.0</v>
      </c>
      <c r="F6" s="38">
        <v>0.0</v>
      </c>
      <c r="G6" s="38">
        <v>1.54</v>
      </c>
      <c r="H6" s="38">
        <v>3.46</v>
      </c>
      <c r="I6" s="38">
        <v>0.77</v>
      </c>
      <c r="J6" s="38">
        <v>3.46</v>
      </c>
      <c r="K6" s="39">
        <v>0.67</v>
      </c>
    </row>
    <row r="7">
      <c r="A7" s="36">
        <v>5.0</v>
      </c>
      <c r="B7" s="40" t="s">
        <v>91</v>
      </c>
      <c r="C7" s="38">
        <v>5.0</v>
      </c>
      <c r="D7" s="38">
        <v>5.0</v>
      </c>
      <c r="E7" s="38">
        <v>0.0</v>
      </c>
      <c r="F7" s="38">
        <v>0.0</v>
      </c>
      <c r="G7" s="38">
        <v>0.52</v>
      </c>
      <c r="H7" s="38">
        <v>5.0</v>
      </c>
      <c r="I7" s="38">
        <v>0.21</v>
      </c>
      <c r="J7" s="38">
        <v>5.0</v>
      </c>
      <c r="K7" s="39">
        <v>2.67</v>
      </c>
    </row>
    <row r="8">
      <c r="A8" s="41"/>
      <c r="B8" s="35" t="s">
        <v>92</v>
      </c>
      <c r="C8" s="41">
        <f t="shared" ref="C8:K8" si="1">SUM(C3:C7)</f>
        <v>6.1</v>
      </c>
      <c r="D8" s="41">
        <f t="shared" si="1"/>
        <v>9.07</v>
      </c>
      <c r="E8" s="41">
        <f t="shared" si="1"/>
        <v>10.32</v>
      </c>
      <c r="F8" s="41">
        <f t="shared" si="1"/>
        <v>0.1</v>
      </c>
      <c r="G8" s="41">
        <f t="shared" si="1"/>
        <v>2.51</v>
      </c>
      <c r="H8" s="41">
        <f t="shared" si="1"/>
        <v>9.62</v>
      </c>
      <c r="I8" s="41">
        <f t="shared" si="1"/>
        <v>1.32</v>
      </c>
      <c r="J8" s="41">
        <f t="shared" si="1"/>
        <v>9.28</v>
      </c>
      <c r="K8" s="42">
        <f t="shared" si="1"/>
        <v>6.35</v>
      </c>
    </row>
    <row r="9">
      <c r="B9" s="43"/>
      <c r="K9" s="44"/>
    </row>
    <row r="10">
      <c r="B10" s="43"/>
      <c r="K10" s="44"/>
    </row>
    <row r="11">
      <c r="B11" s="43"/>
      <c r="K11" s="44"/>
    </row>
    <row r="12">
      <c r="B12" s="43"/>
      <c r="K12" s="44"/>
    </row>
    <row r="13">
      <c r="B13" s="43"/>
      <c r="K13" s="44"/>
    </row>
    <row r="14">
      <c r="B14" s="43"/>
      <c r="K14" s="44"/>
    </row>
    <row r="15">
      <c r="B15" s="43"/>
      <c r="K15" s="44"/>
    </row>
    <row r="16">
      <c r="B16" s="43"/>
      <c r="K16" s="44"/>
    </row>
    <row r="17">
      <c r="B17" s="43"/>
      <c r="K17" s="44"/>
    </row>
    <row r="18">
      <c r="B18" s="43"/>
      <c r="K18" s="44"/>
    </row>
    <row r="19">
      <c r="B19" s="43"/>
      <c r="K19" s="44"/>
    </row>
    <row r="20">
      <c r="B20" s="43"/>
      <c r="K20" s="44"/>
    </row>
    <row r="21">
      <c r="B21" s="43"/>
      <c r="K21" s="44"/>
    </row>
    <row r="22">
      <c r="B22" s="43"/>
      <c r="K22" s="44"/>
    </row>
    <row r="23">
      <c r="B23" s="43"/>
      <c r="K23" s="44"/>
    </row>
    <row r="24">
      <c r="B24" s="43"/>
      <c r="K24" s="44"/>
    </row>
    <row r="25">
      <c r="B25" s="43"/>
      <c r="K25" s="44"/>
    </row>
    <row r="26">
      <c r="B26" s="43"/>
      <c r="K26" s="44"/>
    </row>
    <row r="27">
      <c r="B27" s="43"/>
      <c r="K27" s="44"/>
    </row>
    <row r="28">
      <c r="B28" s="43"/>
      <c r="K28" s="44"/>
    </row>
    <row r="29">
      <c r="B29" s="43"/>
      <c r="K29" s="44"/>
    </row>
    <row r="30">
      <c r="B30" s="43"/>
      <c r="K30" s="44"/>
    </row>
    <row r="31">
      <c r="B31" s="43"/>
      <c r="K31" s="44"/>
    </row>
    <row r="32">
      <c r="B32" s="43"/>
      <c r="K32" s="44"/>
    </row>
    <row r="33">
      <c r="B33" s="43"/>
      <c r="K33" s="44"/>
    </row>
    <row r="34">
      <c r="B34" s="43"/>
      <c r="K34" s="44"/>
    </row>
    <row r="35">
      <c r="B35" s="43"/>
      <c r="K35" s="44"/>
    </row>
    <row r="36">
      <c r="B36" s="43"/>
      <c r="K36" s="44"/>
    </row>
    <row r="37">
      <c r="B37" s="43"/>
      <c r="K37" s="44"/>
    </row>
    <row r="38">
      <c r="B38" s="43"/>
      <c r="K38" s="44"/>
    </row>
    <row r="39">
      <c r="B39" s="43"/>
      <c r="K39" s="44"/>
    </row>
    <row r="40">
      <c r="B40" s="43"/>
      <c r="K40" s="44"/>
    </row>
    <row r="41">
      <c r="B41" s="43"/>
      <c r="K41" s="44"/>
    </row>
    <row r="42">
      <c r="B42" s="43"/>
      <c r="K42" s="44"/>
    </row>
    <row r="43">
      <c r="B43" s="43"/>
      <c r="K43" s="44"/>
    </row>
    <row r="44">
      <c r="B44" s="43"/>
      <c r="K44" s="44"/>
    </row>
    <row r="45">
      <c r="B45" s="43"/>
      <c r="K45" s="44"/>
    </row>
    <row r="46">
      <c r="B46" s="43"/>
      <c r="K46" s="44"/>
    </row>
    <row r="47">
      <c r="B47" s="43"/>
      <c r="K47" s="44"/>
    </row>
    <row r="48">
      <c r="B48" s="43"/>
      <c r="K48" s="44"/>
    </row>
    <row r="49">
      <c r="B49" s="43"/>
      <c r="K49" s="44"/>
    </row>
    <row r="50">
      <c r="B50" s="43"/>
      <c r="K50" s="44"/>
    </row>
    <row r="51">
      <c r="B51" s="43"/>
      <c r="K51" s="44"/>
    </row>
    <row r="52">
      <c r="B52" s="43"/>
      <c r="K52" s="44"/>
    </row>
    <row r="53">
      <c r="B53" s="43"/>
      <c r="K53" s="44"/>
    </row>
    <row r="54">
      <c r="B54" s="43"/>
      <c r="K54" s="44"/>
    </row>
    <row r="55">
      <c r="B55" s="43"/>
      <c r="K55" s="44"/>
    </row>
    <row r="56">
      <c r="B56" s="43"/>
      <c r="K56" s="44"/>
    </row>
    <row r="57">
      <c r="B57" s="43"/>
      <c r="K57" s="44"/>
    </row>
    <row r="58">
      <c r="B58" s="43"/>
      <c r="K58" s="44"/>
    </row>
    <row r="59">
      <c r="B59" s="43"/>
      <c r="K59" s="44"/>
    </row>
    <row r="60">
      <c r="B60" s="43"/>
      <c r="K60" s="44"/>
    </row>
    <row r="61">
      <c r="B61" s="43"/>
      <c r="K61" s="44"/>
    </row>
    <row r="62">
      <c r="B62" s="43"/>
      <c r="K62" s="44"/>
    </row>
    <row r="63">
      <c r="B63" s="43"/>
      <c r="K63" s="44"/>
    </row>
    <row r="64">
      <c r="B64" s="43"/>
      <c r="K64" s="44"/>
    </row>
    <row r="65">
      <c r="B65" s="43"/>
      <c r="K65" s="44"/>
    </row>
    <row r="66">
      <c r="B66" s="43"/>
      <c r="K66" s="44"/>
    </row>
    <row r="67">
      <c r="B67" s="43"/>
      <c r="K67" s="44"/>
    </row>
    <row r="68">
      <c r="B68" s="43"/>
      <c r="K68" s="44"/>
    </row>
    <row r="69">
      <c r="B69" s="43"/>
      <c r="K69" s="44"/>
    </row>
    <row r="70">
      <c r="B70" s="43"/>
      <c r="K70" s="44"/>
    </row>
    <row r="71">
      <c r="B71" s="43"/>
      <c r="K71" s="44"/>
    </row>
    <row r="72">
      <c r="B72" s="43"/>
      <c r="K72" s="44"/>
    </row>
    <row r="73">
      <c r="B73" s="43"/>
      <c r="K73" s="44"/>
    </row>
    <row r="74">
      <c r="B74" s="43"/>
      <c r="K74" s="44"/>
    </row>
    <row r="75">
      <c r="B75" s="43"/>
      <c r="K75" s="44"/>
    </row>
    <row r="76">
      <c r="B76" s="43"/>
      <c r="K76" s="44"/>
    </row>
    <row r="77">
      <c r="B77" s="43"/>
      <c r="K77" s="44"/>
    </row>
    <row r="78">
      <c r="B78" s="43"/>
      <c r="K78" s="44"/>
    </row>
    <row r="79">
      <c r="B79" s="43"/>
      <c r="K79" s="44"/>
    </row>
    <row r="80">
      <c r="B80" s="43"/>
      <c r="K80" s="44"/>
    </row>
    <row r="81">
      <c r="B81" s="43"/>
      <c r="K81" s="44"/>
    </row>
    <row r="82">
      <c r="B82" s="43"/>
      <c r="K82" s="44"/>
    </row>
    <row r="83">
      <c r="B83" s="43"/>
      <c r="K83" s="44"/>
    </row>
    <row r="84">
      <c r="B84" s="43"/>
      <c r="K84" s="44"/>
    </row>
    <row r="85">
      <c r="B85" s="43"/>
      <c r="K85" s="44"/>
    </row>
    <row r="86">
      <c r="B86" s="43"/>
      <c r="K86" s="44"/>
    </row>
    <row r="87">
      <c r="B87" s="43"/>
      <c r="K87" s="44"/>
    </row>
    <row r="88">
      <c r="B88" s="43"/>
      <c r="K88" s="44"/>
    </row>
    <row r="89">
      <c r="B89" s="43"/>
      <c r="K89" s="44"/>
    </row>
    <row r="90">
      <c r="B90" s="43"/>
      <c r="K90" s="44"/>
    </row>
    <row r="91">
      <c r="B91" s="43"/>
      <c r="K91" s="44"/>
    </row>
    <row r="92">
      <c r="B92" s="43"/>
      <c r="K92" s="44"/>
    </row>
    <row r="93">
      <c r="B93" s="43"/>
      <c r="K93" s="44"/>
    </row>
    <row r="94">
      <c r="B94" s="43"/>
      <c r="K94" s="44"/>
    </row>
    <row r="95">
      <c r="B95" s="43"/>
      <c r="K95" s="44"/>
    </row>
    <row r="96">
      <c r="B96" s="43"/>
      <c r="K96" s="44"/>
    </row>
    <row r="97">
      <c r="B97" s="43"/>
      <c r="K97" s="44"/>
    </row>
    <row r="98">
      <c r="B98" s="43"/>
      <c r="K98" s="44"/>
    </row>
    <row r="99">
      <c r="B99" s="43"/>
      <c r="K99" s="44"/>
    </row>
    <row r="100">
      <c r="B100" s="43"/>
      <c r="K100" s="44"/>
    </row>
    <row r="101">
      <c r="B101" s="43"/>
      <c r="K101" s="44"/>
    </row>
    <row r="102">
      <c r="B102" s="43"/>
      <c r="K102" s="44"/>
    </row>
    <row r="103">
      <c r="B103" s="43"/>
      <c r="K103" s="44"/>
    </row>
    <row r="104">
      <c r="B104" s="43"/>
      <c r="K104" s="44"/>
    </row>
    <row r="105">
      <c r="B105" s="43"/>
      <c r="K105" s="44"/>
    </row>
    <row r="106">
      <c r="B106" s="43"/>
      <c r="K106" s="44"/>
    </row>
    <row r="107">
      <c r="B107" s="43"/>
      <c r="K107" s="44"/>
    </row>
    <row r="108">
      <c r="B108" s="43"/>
      <c r="K108" s="44"/>
    </row>
    <row r="109">
      <c r="B109" s="43"/>
      <c r="K109" s="44"/>
    </row>
    <row r="110">
      <c r="B110" s="43"/>
      <c r="K110" s="44"/>
    </row>
    <row r="111">
      <c r="B111" s="43"/>
      <c r="K111" s="44"/>
    </row>
    <row r="112">
      <c r="B112" s="43"/>
      <c r="K112" s="44"/>
    </row>
    <row r="113">
      <c r="B113" s="43"/>
      <c r="K113" s="44"/>
    </row>
    <row r="114">
      <c r="B114" s="43"/>
      <c r="K114" s="44"/>
    </row>
    <row r="115">
      <c r="B115" s="43"/>
      <c r="K115" s="44"/>
    </row>
    <row r="116">
      <c r="B116" s="43"/>
      <c r="K116" s="44"/>
    </row>
    <row r="117">
      <c r="B117" s="43"/>
      <c r="K117" s="44"/>
    </row>
    <row r="118">
      <c r="B118" s="43"/>
      <c r="K118" s="44"/>
    </row>
    <row r="119">
      <c r="B119" s="43"/>
      <c r="K119" s="44"/>
    </row>
    <row r="120">
      <c r="B120" s="43"/>
      <c r="K120" s="44"/>
    </row>
    <row r="121">
      <c r="B121" s="43"/>
      <c r="K121" s="44"/>
    </row>
    <row r="122">
      <c r="B122" s="43"/>
      <c r="K122" s="44"/>
    </row>
    <row r="123">
      <c r="B123" s="43"/>
      <c r="K123" s="44"/>
    </row>
    <row r="124">
      <c r="B124" s="43"/>
      <c r="K124" s="44"/>
    </row>
    <row r="125">
      <c r="B125" s="43"/>
      <c r="K125" s="44"/>
    </row>
    <row r="126">
      <c r="B126" s="43"/>
      <c r="K126" s="44"/>
    </row>
    <row r="127">
      <c r="B127" s="43"/>
      <c r="K127" s="44"/>
    </row>
    <row r="128">
      <c r="B128" s="43"/>
      <c r="K128" s="44"/>
    </row>
    <row r="129">
      <c r="B129" s="43"/>
      <c r="K129" s="44"/>
    </row>
    <row r="130">
      <c r="B130" s="43"/>
      <c r="K130" s="44"/>
    </row>
    <row r="131">
      <c r="B131" s="43"/>
      <c r="K131" s="44"/>
    </row>
    <row r="132">
      <c r="B132" s="43"/>
      <c r="K132" s="44"/>
    </row>
    <row r="133">
      <c r="B133" s="43"/>
      <c r="K133" s="44"/>
    </row>
    <row r="134">
      <c r="B134" s="43"/>
      <c r="K134" s="44"/>
    </row>
    <row r="135">
      <c r="B135" s="43"/>
      <c r="K135" s="44"/>
    </row>
    <row r="136">
      <c r="B136" s="43"/>
      <c r="K136" s="44"/>
    </row>
    <row r="137">
      <c r="B137" s="43"/>
      <c r="K137" s="44"/>
    </row>
    <row r="138">
      <c r="B138" s="43"/>
      <c r="K138" s="44"/>
    </row>
    <row r="139">
      <c r="B139" s="43"/>
      <c r="K139" s="44"/>
    </row>
    <row r="140">
      <c r="B140" s="43"/>
      <c r="K140" s="44"/>
    </row>
    <row r="141">
      <c r="B141" s="43"/>
      <c r="K141" s="44"/>
    </row>
    <row r="142">
      <c r="B142" s="43"/>
      <c r="K142" s="44"/>
    </row>
    <row r="143">
      <c r="B143" s="43"/>
      <c r="K143" s="44"/>
    </row>
    <row r="144">
      <c r="B144" s="43"/>
      <c r="K144" s="44"/>
    </row>
    <row r="145">
      <c r="B145" s="43"/>
      <c r="K145" s="44"/>
    </row>
    <row r="146">
      <c r="B146" s="43"/>
      <c r="K146" s="44"/>
    </row>
    <row r="147">
      <c r="B147" s="43"/>
      <c r="K147" s="44"/>
    </row>
    <row r="148">
      <c r="B148" s="43"/>
      <c r="K148" s="44"/>
    </row>
    <row r="149">
      <c r="B149" s="43"/>
      <c r="K149" s="44"/>
    </row>
    <row r="150">
      <c r="B150" s="43"/>
      <c r="K150" s="44"/>
    </row>
    <row r="151">
      <c r="B151" s="43"/>
      <c r="K151" s="44"/>
    </row>
    <row r="152">
      <c r="B152" s="43"/>
      <c r="K152" s="44"/>
    </row>
    <row r="153">
      <c r="B153" s="43"/>
      <c r="K153" s="44"/>
    </row>
    <row r="154">
      <c r="B154" s="43"/>
      <c r="K154" s="44"/>
    </row>
    <row r="155">
      <c r="B155" s="43"/>
      <c r="K155" s="44"/>
    </row>
    <row r="156">
      <c r="B156" s="43"/>
      <c r="K156" s="44"/>
    </row>
    <row r="157">
      <c r="B157" s="43"/>
      <c r="K157" s="44"/>
    </row>
    <row r="158">
      <c r="B158" s="43"/>
      <c r="K158" s="44"/>
    </row>
    <row r="159">
      <c r="B159" s="43"/>
      <c r="K159" s="44"/>
    </row>
    <row r="160">
      <c r="B160" s="43"/>
      <c r="K160" s="44"/>
    </row>
    <row r="161">
      <c r="B161" s="43"/>
      <c r="K161" s="44"/>
    </row>
    <row r="162">
      <c r="B162" s="43"/>
      <c r="K162" s="44"/>
    </row>
    <row r="163">
      <c r="B163" s="43"/>
      <c r="K163" s="44"/>
    </row>
    <row r="164">
      <c r="B164" s="43"/>
      <c r="K164" s="44"/>
    </row>
    <row r="165">
      <c r="B165" s="43"/>
      <c r="K165" s="44"/>
    </row>
    <row r="166">
      <c r="B166" s="43"/>
      <c r="K166" s="44"/>
    </row>
    <row r="167">
      <c r="B167" s="43"/>
      <c r="K167" s="44"/>
    </row>
    <row r="168">
      <c r="B168" s="43"/>
      <c r="K168" s="44"/>
    </row>
    <row r="169">
      <c r="B169" s="43"/>
      <c r="K169" s="44"/>
    </row>
    <row r="170">
      <c r="B170" s="43"/>
      <c r="K170" s="44"/>
    </row>
    <row r="171">
      <c r="B171" s="43"/>
      <c r="K171" s="44"/>
    </row>
    <row r="172">
      <c r="B172" s="43"/>
      <c r="K172" s="44"/>
    </row>
    <row r="173">
      <c r="B173" s="43"/>
      <c r="K173" s="44"/>
    </row>
    <row r="174">
      <c r="B174" s="43"/>
      <c r="K174" s="44"/>
    </row>
    <row r="175">
      <c r="B175" s="43"/>
      <c r="K175" s="44"/>
    </row>
    <row r="176">
      <c r="B176" s="43"/>
      <c r="K176" s="44"/>
    </row>
    <row r="177">
      <c r="B177" s="43"/>
      <c r="K177" s="44"/>
    </row>
    <row r="178">
      <c r="B178" s="43"/>
      <c r="K178" s="44"/>
    </row>
    <row r="179">
      <c r="B179" s="43"/>
      <c r="K179" s="44"/>
    </row>
    <row r="180">
      <c r="B180" s="43"/>
      <c r="K180" s="44"/>
    </row>
    <row r="181">
      <c r="B181" s="43"/>
      <c r="K181" s="44"/>
    </row>
    <row r="182">
      <c r="B182" s="43"/>
      <c r="K182" s="44"/>
    </row>
    <row r="183">
      <c r="B183" s="43"/>
      <c r="K183" s="44"/>
    </row>
    <row r="184">
      <c r="B184" s="43"/>
      <c r="K184" s="44"/>
    </row>
    <row r="185">
      <c r="B185" s="43"/>
      <c r="K185" s="44"/>
    </row>
    <row r="186">
      <c r="B186" s="43"/>
      <c r="K186" s="44"/>
    </row>
    <row r="187">
      <c r="B187" s="43"/>
      <c r="K187" s="44"/>
    </row>
    <row r="188">
      <c r="B188" s="43"/>
      <c r="K188" s="44"/>
    </row>
    <row r="189">
      <c r="B189" s="43"/>
      <c r="K189" s="44"/>
    </row>
    <row r="190">
      <c r="B190" s="43"/>
      <c r="K190" s="44"/>
    </row>
    <row r="191">
      <c r="B191" s="43"/>
      <c r="K191" s="44"/>
    </row>
    <row r="192">
      <c r="B192" s="43"/>
      <c r="K192" s="44"/>
    </row>
    <row r="193">
      <c r="B193" s="43"/>
      <c r="K193" s="44"/>
    </row>
    <row r="194">
      <c r="B194" s="43"/>
      <c r="K194" s="44"/>
    </row>
    <row r="195">
      <c r="B195" s="43"/>
      <c r="K195" s="44"/>
    </row>
    <row r="196">
      <c r="B196" s="43"/>
      <c r="K196" s="44"/>
    </row>
    <row r="197">
      <c r="B197" s="43"/>
      <c r="K197" s="44"/>
    </row>
    <row r="198">
      <c r="B198" s="43"/>
      <c r="K198" s="44"/>
    </row>
    <row r="199">
      <c r="B199" s="43"/>
      <c r="K199" s="44"/>
    </row>
    <row r="200">
      <c r="B200" s="43"/>
      <c r="K200" s="44"/>
    </row>
    <row r="201">
      <c r="B201" s="43"/>
      <c r="K201" s="44"/>
    </row>
    <row r="202">
      <c r="B202" s="43"/>
      <c r="K202" s="44"/>
    </row>
    <row r="203">
      <c r="B203" s="43"/>
      <c r="K203" s="44"/>
    </row>
    <row r="204">
      <c r="B204" s="43"/>
      <c r="K204" s="44"/>
    </row>
    <row r="205">
      <c r="B205" s="43"/>
      <c r="K205" s="44"/>
    </row>
    <row r="206">
      <c r="B206" s="43"/>
      <c r="K206" s="44"/>
    </row>
    <row r="207">
      <c r="B207" s="43"/>
      <c r="K207" s="44"/>
    </row>
    <row r="208">
      <c r="B208" s="43"/>
      <c r="K208" s="44"/>
    </row>
    <row r="209">
      <c r="B209" s="43"/>
      <c r="K209" s="44"/>
    </row>
    <row r="210">
      <c r="B210" s="43"/>
      <c r="K210" s="44"/>
    </row>
    <row r="211">
      <c r="B211" s="43"/>
      <c r="K211" s="44"/>
    </row>
    <row r="212">
      <c r="B212" s="43"/>
      <c r="K212" s="44"/>
    </row>
    <row r="213">
      <c r="B213" s="43"/>
      <c r="K213" s="44"/>
    </row>
    <row r="214">
      <c r="B214" s="43"/>
      <c r="K214" s="44"/>
    </row>
    <row r="215">
      <c r="B215" s="43"/>
      <c r="K215" s="44"/>
    </row>
    <row r="216">
      <c r="B216" s="43"/>
      <c r="K216" s="44"/>
    </row>
    <row r="217">
      <c r="B217" s="43"/>
      <c r="K217" s="44"/>
    </row>
    <row r="218">
      <c r="B218" s="43"/>
      <c r="K218" s="44"/>
    </row>
    <row r="219">
      <c r="B219" s="43"/>
      <c r="K219" s="44"/>
    </row>
    <row r="220">
      <c r="B220" s="43"/>
      <c r="K220" s="44"/>
    </row>
    <row r="221">
      <c r="B221" s="43"/>
      <c r="K221" s="44"/>
    </row>
    <row r="222">
      <c r="B222" s="43"/>
      <c r="K222" s="44"/>
    </row>
    <row r="223">
      <c r="B223" s="43"/>
      <c r="K223" s="44"/>
    </row>
    <row r="224">
      <c r="B224" s="43"/>
      <c r="K224" s="44"/>
    </row>
    <row r="225">
      <c r="B225" s="43"/>
      <c r="K225" s="44"/>
    </row>
    <row r="226">
      <c r="B226" s="43"/>
      <c r="K226" s="44"/>
    </row>
    <row r="227">
      <c r="B227" s="43"/>
      <c r="K227" s="44"/>
    </row>
    <row r="228">
      <c r="B228" s="43"/>
      <c r="K228" s="44"/>
    </row>
    <row r="229">
      <c r="B229" s="43"/>
      <c r="K229" s="44"/>
    </row>
    <row r="230">
      <c r="B230" s="43"/>
      <c r="K230" s="44"/>
    </row>
    <row r="231">
      <c r="B231" s="43"/>
      <c r="K231" s="44"/>
    </row>
    <row r="232">
      <c r="B232" s="43"/>
      <c r="K232" s="44"/>
    </row>
    <row r="233">
      <c r="B233" s="43"/>
      <c r="K233" s="44"/>
    </row>
    <row r="234">
      <c r="B234" s="43"/>
      <c r="K234" s="44"/>
    </row>
    <row r="235">
      <c r="B235" s="43"/>
      <c r="K235" s="44"/>
    </row>
    <row r="236">
      <c r="B236" s="43"/>
      <c r="K236" s="44"/>
    </row>
    <row r="237">
      <c r="B237" s="43"/>
      <c r="K237" s="44"/>
    </row>
    <row r="238">
      <c r="B238" s="43"/>
      <c r="K238" s="44"/>
    </row>
    <row r="239">
      <c r="B239" s="43"/>
      <c r="K239" s="44"/>
    </row>
    <row r="240">
      <c r="B240" s="43"/>
      <c r="K240" s="44"/>
    </row>
    <row r="241">
      <c r="B241" s="43"/>
      <c r="K241" s="44"/>
    </row>
    <row r="242">
      <c r="B242" s="43"/>
      <c r="K242" s="44"/>
    </row>
    <row r="243">
      <c r="B243" s="43"/>
      <c r="K243" s="44"/>
    </row>
    <row r="244">
      <c r="B244" s="43"/>
      <c r="K244" s="44"/>
    </row>
    <row r="245">
      <c r="B245" s="43"/>
      <c r="K245" s="44"/>
    </row>
    <row r="246">
      <c r="B246" s="43"/>
      <c r="K246" s="44"/>
    </row>
    <row r="247">
      <c r="B247" s="43"/>
      <c r="K247" s="44"/>
    </row>
    <row r="248">
      <c r="B248" s="43"/>
      <c r="K248" s="44"/>
    </row>
    <row r="249">
      <c r="B249" s="43"/>
      <c r="K249" s="44"/>
    </row>
    <row r="250">
      <c r="B250" s="43"/>
      <c r="K250" s="44"/>
    </row>
    <row r="251">
      <c r="B251" s="43"/>
      <c r="K251" s="44"/>
    </row>
    <row r="252">
      <c r="B252" s="43"/>
      <c r="K252" s="44"/>
    </row>
    <row r="253">
      <c r="B253" s="43"/>
      <c r="K253" s="44"/>
    </row>
    <row r="254">
      <c r="B254" s="43"/>
      <c r="K254" s="44"/>
    </row>
    <row r="255">
      <c r="B255" s="43"/>
      <c r="K255" s="44"/>
    </row>
    <row r="256">
      <c r="B256" s="43"/>
      <c r="K256" s="44"/>
    </row>
    <row r="257">
      <c r="B257" s="43"/>
      <c r="K257" s="44"/>
    </row>
    <row r="258">
      <c r="B258" s="43"/>
      <c r="K258" s="44"/>
    </row>
    <row r="259">
      <c r="B259" s="43"/>
      <c r="K259" s="44"/>
    </row>
    <row r="260">
      <c r="B260" s="43"/>
      <c r="K260" s="44"/>
    </row>
    <row r="261">
      <c r="B261" s="43"/>
      <c r="K261" s="44"/>
    </row>
    <row r="262">
      <c r="B262" s="43"/>
      <c r="K262" s="44"/>
    </row>
    <row r="263">
      <c r="B263" s="43"/>
      <c r="K263" s="44"/>
    </row>
    <row r="264">
      <c r="B264" s="43"/>
      <c r="K264" s="44"/>
    </row>
    <row r="265">
      <c r="B265" s="43"/>
      <c r="K265" s="44"/>
    </row>
    <row r="266">
      <c r="B266" s="43"/>
      <c r="K266" s="44"/>
    </row>
    <row r="267">
      <c r="B267" s="43"/>
      <c r="K267" s="44"/>
    </row>
    <row r="268">
      <c r="B268" s="43"/>
      <c r="K268" s="44"/>
    </row>
    <row r="269">
      <c r="B269" s="43"/>
      <c r="K269" s="44"/>
    </row>
    <row r="270">
      <c r="B270" s="43"/>
      <c r="K270" s="44"/>
    </row>
    <row r="271">
      <c r="B271" s="43"/>
      <c r="K271" s="44"/>
    </row>
    <row r="272">
      <c r="B272" s="43"/>
      <c r="K272" s="44"/>
    </row>
    <row r="273">
      <c r="B273" s="43"/>
      <c r="K273" s="44"/>
    </row>
    <row r="274">
      <c r="B274" s="43"/>
      <c r="K274" s="44"/>
    </row>
    <row r="275">
      <c r="B275" s="43"/>
      <c r="K275" s="44"/>
    </row>
    <row r="276">
      <c r="B276" s="43"/>
      <c r="K276" s="44"/>
    </row>
    <row r="277">
      <c r="B277" s="43"/>
      <c r="K277" s="44"/>
    </row>
    <row r="278">
      <c r="B278" s="43"/>
      <c r="K278" s="44"/>
    </row>
    <row r="279">
      <c r="B279" s="43"/>
      <c r="K279" s="44"/>
    </row>
    <row r="280">
      <c r="B280" s="43"/>
      <c r="K280" s="44"/>
    </row>
    <row r="281">
      <c r="B281" s="43"/>
      <c r="K281" s="44"/>
    </row>
    <row r="282">
      <c r="B282" s="43"/>
      <c r="K282" s="44"/>
    </row>
    <row r="283">
      <c r="B283" s="43"/>
      <c r="K283" s="44"/>
    </row>
    <row r="284">
      <c r="B284" s="43"/>
      <c r="K284" s="44"/>
    </row>
    <row r="285">
      <c r="B285" s="43"/>
      <c r="K285" s="44"/>
    </row>
    <row r="286">
      <c r="B286" s="43"/>
      <c r="K286" s="44"/>
    </row>
    <row r="287">
      <c r="B287" s="43"/>
      <c r="K287" s="44"/>
    </row>
    <row r="288">
      <c r="B288" s="43"/>
      <c r="K288" s="44"/>
    </row>
    <row r="289">
      <c r="B289" s="43"/>
      <c r="K289" s="44"/>
    </row>
    <row r="290">
      <c r="B290" s="43"/>
      <c r="K290" s="44"/>
    </row>
    <row r="291">
      <c r="B291" s="43"/>
      <c r="K291" s="44"/>
    </row>
    <row r="292">
      <c r="B292" s="43"/>
      <c r="K292" s="44"/>
    </row>
    <row r="293">
      <c r="B293" s="43"/>
      <c r="K293" s="44"/>
    </row>
    <row r="294">
      <c r="B294" s="43"/>
      <c r="K294" s="44"/>
    </row>
    <row r="295">
      <c r="B295" s="43"/>
      <c r="K295" s="44"/>
    </row>
    <row r="296">
      <c r="B296" s="43"/>
      <c r="K296" s="44"/>
    </row>
    <row r="297">
      <c r="B297" s="43"/>
      <c r="K297" s="44"/>
    </row>
    <row r="298">
      <c r="B298" s="43"/>
      <c r="K298" s="44"/>
    </row>
    <row r="299">
      <c r="B299" s="43"/>
      <c r="K299" s="44"/>
    </row>
    <row r="300">
      <c r="B300" s="43"/>
      <c r="K300" s="44"/>
    </row>
    <row r="301">
      <c r="B301" s="43"/>
      <c r="K301" s="44"/>
    </row>
    <row r="302">
      <c r="B302" s="43"/>
      <c r="K302" s="44"/>
    </row>
    <row r="303">
      <c r="B303" s="43"/>
      <c r="K303" s="44"/>
    </row>
    <row r="304">
      <c r="B304" s="43"/>
      <c r="K304" s="44"/>
    </row>
    <row r="305">
      <c r="B305" s="43"/>
      <c r="K305" s="44"/>
    </row>
    <row r="306">
      <c r="B306" s="43"/>
      <c r="K306" s="44"/>
    </row>
    <row r="307">
      <c r="B307" s="43"/>
      <c r="K307" s="44"/>
    </row>
    <row r="308">
      <c r="B308" s="43"/>
      <c r="K308" s="44"/>
    </row>
    <row r="309">
      <c r="B309" s="43"/>
      <c r="K309" s="44"/>
    </row>
    <row r="310">
      <c r="B310" s="43"/>
      <c r="K310" s="44"/>
    </row>
    <row r="311">
      <c r="B311" s="43"/>
      <c r="K311" s="44"/>
    </row>
    <row r="312">
      <c r="B312" s="43"/>
      <c r="K312" s="44"/>
    </row>
    <row r="313">
      <c r="B313" s="43"/>
      <c r="K313" s="44"/>
    </row>
    <row r="314">
      <c r="B314" s="43"/>
      <c r="K314" s="44"/>
    </row>
    <row r="315">
      <c r="B315" s="43"/>
      <c r="K315" s="44"/>
    </row>
    <row r="316">
      <c r="B316" s="43"/>
      <c r="K316" s="44"/>
    </row>
    <row r="317">
      <c r="B317" s="43"/>
      <c r="K317" s="44"/>
    </row>
    <row r="318">
      <c r="B318" s="43"/>
      <c r="K318" s="44"/>
    </row>
    <row r="319">
      <c r="B319" s="43"/>
      <c r="K319" s="44"/>
    </row>
    <row r="320">
      <c r="B320" s="43"/>
      <c r="K320" s="44"/>
    </row>
    <row r="321">
      <c r="B321" s="43"/>
      <c r="K321" s="44"/>
    </row>
    <row r="322">
      <c r="B322" s="43"/>
      <c r="K322" s="44"/>
    </row>
    <row r="323">
      <c r="B323" s="43"/>
      <c r="K323" s="44"/>
    </row>
    <row r="324">
      <c r="B324" s="43"/>
      <c r="K324" s="44"/>
    </row>
    <row r="325">
      <c r="B325" s="43"/>
      <c r="K325" s="44"/>
    </row>
    <row r="326">
      <c r="B326" s="43"/>
      <c r="K326" s="44"/>
    </row>
    <row r="327">
      <c r="B327" s="43"/>
      <c r="K327" s="44"/>
    </row>
    <row r="328">
      <c r="B328" s="43"/>
      <c r="K328" s="44"/>
    </row>
    <row r="329">
      <c r="B329" s="43"/>
      <c r="K329" s="44"/>
    </row>
    <row r="330">
      <c r="B330" s="43"/>
      <c r="K330" s="44"/>
    </row>
    <row r="331">
      <c r="B331" s="43"/>
      <c r="K331" s="44"/>
    </row>
    <row r="332">
      <c r="B332" s="43"/>
      <c r="K332" s="44"/>
    </row>
    <row r="333">
      <c r="B333" s="43"/>
      <c r="K333" s="44"/>
    </row>
    <row r="334">
      <c r="B334" s="43"/>
      <c r="K334" s="44"/>
    </row>
    <row r="335">
      <c r="B335" s="43"/>
      <c r="K335" s="44"/>
    </row>
    <row r="336">
      <c r="B336" s="43"/>
      <c r="K336" s="44"/>
    </row>
    <row r="337">
      <c r="B337" s="43"/>
      <c r="K337" s="44"/>
    </row>
    <row r="338">
      <c r="B338" s="43"/>
      <c r="K338" s="44"/>
    </row>
    <row r="339">
      <c r="B339" s="43"/>
      <c r="K339" s="44"/>
    </row>
    <row r="340">
      <c r="B340" s="43"/>
      <c r="K340" s="44"/>
    </row>
    <row r="341">
      <c r="B341" s="43"/>
      <c r="K341" s="44"/>
    </row>
    <row r="342">
      <c r="B342" s="43"/>
      <c r="K342" s="44"/>
    </row>
    <row r="343">
      <c r="B343" s="43"/>
      <c r="K343" s="44"/>
    </row>
    <row r="344">
      <c r="B344" s="43"/>
      <c r="K344" s="44"/>
    </row>
    <row r="345">
      <c r="B345" s="43"/>
      <c r="K345" s="44"/>
    </row>
    <row r="346">
      <c r="B346" s="43"/>
      <c r="K346" s="44"/>
    </row>
    <row r="347">
      <c r="B347" s="43"/>
      <c r="K347" s="44"/>
    </row>
    <row r="348">
      <c r="B348" s="43"/>
      <c r="K348" s="44"/>
    </row>
    <row r="349">
      <c r="B349" s="43"/>
      <c r="K349" s="44"/>
    </row>
    <row r="350">
      <c r="B350" s="43"/>
      <c r="K350" s="44"/>
    </row>
    <row r="351">
      <c r="B351" s="43"/>
      <c r="K351" s="44"/>
    </row>
    <row r="352">
      <c r="B352" s="43"/>
      <c r="K352" s="44"/>
    </row>
    <row r="353">
      <c r="B353" s="43"/>
      <c r="K353" s="44"/>
    </row>
    <row r="354">
      <c r="B354" s="43"/>
      <c r="K354" s="44"/>
    </row>
    <row r="355">
      <c r="B355" s="43"/>
      <c r="K355" s="44"/>
    </row>
    <row r="356">
      <c r="B356" s="43"/>
      <c r="K356" s="44"/>
    </row>
    <row r="357">
      <c r="B357" s="43"/>
      <c r="K357" s="44"/>
    </row>
    <row r="358">
      <c r="B358" s="43"/>
      <c r="K358" s="44"/>
    </row>
    <row r="359">
      <c r="B359" s="43"/>
      <c r="K359" s="44"/>
    </row>
    <row r="360">
      <c r="B360" s="43"/>
      <c r="K360" s="44"/>
    </row>
    <row r="361">
      <c r="B361" s="43"/>
      <c r="K361" s="44"/>
    </row>
    <row r="362">
      <c r="B362" s="43"/>
      <c r="K362" s="44"/>
    </row>
    <row r="363">
      <c r="B363" s="43"/>
      <c r="K363" s="44"/>
    </row>
    <row r="364">
      <c r="B364" s="43"/>
      <c r="K364" s="44"/>
    </row>
    <row r="365">
      <c r="B365" s="43"/>
      <c r="K365" s="44"/>
    </row>
    <row r="366">
      <c r="B366" s="43"/>
      <c r="K366" s="44"/>
    </row>
    <row r="367">
      <c r="B367" s="43"/>
      <c r="K367" s="44"/>
    </row>
    <row r="368">
      <c r="B368" s="43"/>
      <c r="K368" s="44"/>
    </row>
    <row r="369">
      <c r="B369" s="43"/>
      <c r="K369" s="44"/>
    </row>
    <row r="370">
      <c r="B370" s="43"/>
      <c r="K370" s="44"/>
    </row>
    <row r="371">
      <c r="B371" s="43"/>
      <c r="K371" s="44"/>
    </row>
    <row r="372">
      <c r="B372" s="43"/>
      <c r="K372" s="44"/>
    </row>
    <row r="373">
      <c r="B373" s="43"/>
      <c r="K373" s="44"/>
    </row>
    <row r="374">
      <c r="B374" s="43"/>
      <c r="K374" s="44"/>
    </row>
    <row r="375">
      <c r="B375" s="43"/>
      <c r="K375" s="44"/>
    </row>
    <row r="376">
      <c r="B376" s="43"/>
      <c r="K376" s="44"/>
    </row>
    <row r="377">
      <c r="B377" s="43"/>
      <c r="K377" s="44"/>
    </row>
    <row r="378">
      <c r="B378" s="43"/>
      <c r="K378" s="44"/>
    </row>
    <row r="379">
      <c r="B379" s="43"/>
      <c r="K379" s="44"/>
    </row>
    <row r="380">
      <c r="B380" s="43"/>
      <c r="K380" s="44"/>
    </row>
    <row r="381">
      <c r="B381" s="43"/>
      <c r="K381" s="44"/>
    </row>
    <row r="382">
      <c r="B382" s="43"/>
      <c r="K382" s="44"/>
    </row>
    <row r="383">
      <c r="B383" s="43"/>
      <c r="K383" s="44"/>
    </row>
    <row r="384">
      <c r="B384" s="43"/>
      <c r="K384" s="44"/>
    </row>
    <row r="385">
      <c r="B385" s="43"/>
      <c r="K385" s="44"/>
    </row>
    <row r="386">
      <c r="B386" s="43"/>
      <c r="K386" s="44"/>
    </row>
    <row r="387">
      <c r="B387" s="43"/>
      <c r="K387" s="44"/>
    </row>
    <row r="388">
      <c r="B388" s="43"/>
      <c r="K388" s="44"/>
    </row>
    <row r="389">
      <c r="B389" s="43"/>
      <c r="K389" s="44"/>
    </row>
    <row r="390">
      <c r="B390" s="43"/>
      <c r="K390" s="44"/>
    </row>
    <row r="391">
      <c r="B391" s="43"/>
      <c r="K391" s="44"/>
    </row>
    <row r="392">
      <c r="B392" s="43"/>
      <c r="K392" s="44"/>
    </row>
    <row r="393">
      <c r="B393" s="43"/>
      <c r="K393" s="44"/>
    </row>
    <row r="394">
      <c r="B394" s="43"/>
      <c r="K394" s="44"/>
    </row>
    <row r="395">
      <c r="B395" s="43"/>
      <c r="K395" s="44"/>
    </row>
    <row r="396">
      <c r="B396" s="43"/>
      <c r="K396" s="44"/>
    </row>
    <row r="397">
      <c r="B397" s="43"/>
      <c r="K397" s="44"/>
    </row>
    <row r="398">
      <c r="B398" s="43"/>
      <c r="K398" s="44"/>
    </row>
    <row r="399">
      <c r="B399" s="43"/>
      <c r="K399" s="44"/>
    </row>
    <row r="400">
      <c r="B400" s="43"/>
      <c r="K400" s="44"/>
    </row>
    <row r="401">
      <c r="B401" s="43"/>
      <c r="K401" s="44"/>
    </row>
    <row r="402">
      <c r="B402" s="43"/>
      <c r="K402" s="44"/>
    </row>
    <row r="403">
      <c r="B403" s="43"/>
      <c r="K403" s="44"/>
    </row>
    <row r="404">
      <c r="B404" s="43"/>
      <c r="K404" s="44"/>
    </row>
    <row r="405">
      <c r="B405" s="43"/>
      <c r="K405" s="44"/>
    </row>
    <row r="406">
      <c r="B406" s="43"/>
      <c r="K406" s="44"/>
    </row>
    <row r="407">
      <c r="B407" s="43"/>
      <c r="K407" s="44"/>
    </row>
    <row r="408">
      <c r="B408" s="43"/>
      <c r="K408" s="44"/>
    </row>
    <row r="409">
      <c r="B409" s="43"/>
      <c r="K409" s="44"/>
    </row>
    <row r="410">
      <c r="B410" s="43"/>
      <c r="K410" s="44"/>
    </row>
    <row r="411">
      <c r="B411" s="43"/>
      <c r="K411" s="44"/>
    </row>
    <row r="412">
      <c r="B412" s="43"/>
      <c r="K412" s="44"/>
    </row>
    <row r="413">
      <c r="B413" s="43"/>
      <c r="K413" s="44"/>
    </row>
    <row r="414">
      <c r="B414" s="43"/>
      <c r="K414" s="44"/>
    </row>
    <row r="415">
      <c r="B415" s="43"/>
      <c r="K415" s="44"/>
    </row>
    <row r="416">
      <c r="B416" s="43"/>
      <c r="K416" s="44"/>
    </row>
    <row r="417">
      <c r="B417" s="43"/>
      <c r="K417" s="44"/>
    </row>
    <row r="418">
      <c r="B418" s="43"/>
      <c r="K418" s="44"/>
    </row>
    <row r="419">
      <c r="B419" s="43"/>
      <c r="K419" s="44"/>
    </row>
    <row r="420">
      <c r="B420" s="43"/>
      <c r="K420" s="44"/>
    </row>
    <row r="421">
      <c r="B421" s="43"/>
      <c r="K421" s="44"/>
    </row>
    <row r="422">
      <c r="B422" s="43"/>
      <c r="K422" s="44"/>
    </row>
    <row r="423">
      <c r="B423" s="43"/>
      <c r="K423" s="44"/>
    </row>
    <row r="424">
      <c r="B424" s="43"/>
      <c r="K424" s="44"/>
    </row>
    <row r="425">
      <c r="B425" s="43"/>
      <c r="K425" s="44"/>
    </row>
    <row r="426">
      <c r="B426" s="43"/>
      <c r="K426" s="44"/>
    </row>
    <row r="427">
      <c r="B427" s="43"/>
      <c r="K427" s="44"/>
    </row>
    <row r="428">
      <c r="B428" s="43"/>
      <c r="K428" s="44"/>
    </row>
    <row r="429">
      <c r="B429" s="43"/>
      <c r="K429" s="44"/>
    </row>
    <row r="430">
      <c r="B430" s="43"/>
      <c r="K430" s="44"/>
    </row>
    <row r="431">
      <c r="B431" s="43"/>
      <c r="K431" s="44"/>
    </row>
    <row r="432">
      <c r="B432" s="43"/>
      <c r="K432" s="44"/>
    </row>
    <row r="433">
      <c r="B433" s="43"/>
      <c r="K433" s="44"/>
    </row>
    <row r="434">
      <c r="B434" s="43"/>
      <c r="K434" s="44"/>
    </row>
    <row r="435">
      <c r="B435" s="43"/>
      <c r="K435" s="44"/>
    </row>
    <row r="436">
      <c r="B436" s="43"/>
      <c r="K436" s="44"/>
    </row>
    <row r="437">
      <c r="B437" s="43"/>
      <c r="K437" s="44"/>
    </row>
    <row r="438">
      <c r="B438" s="43"/>
      <c r="K438" s="44"/>
    </row>
    <row r="439">
      <c r="B439" s="43"/>
      <c r="K439" s="44"/>
    </row>
    <row r="440">
      <c r="B440" s="43"/>
      <c r="K440" s="44"/>
    </row>
    <row r="441">
      <c r="B441" s="43"/>
      <c r="K441" s="44"/>
    </row>
    <row r="442">
      <c r="B442" s="43"/>
      <c r="K442" s="44"/>
    </row>
    <row r="443">
      <c r="B443" s="43"/>
      <c r="K443" s="44"/>
    </row>
    <row r="444">
      <c r="B444" s="43"/>
      <c r="K444" s="44"/>
    </row>
    <row r="445">
      <c r="B445" s="43"/>
      <c r="K445" s="44"/>
    </row>
    <row r="446">
      <c r="B446" s="43"/>
      <c r="K446" s="44"/>
    </row>
    <row r="447">
      <c r="B447" s="43"/>
      <c r="K447" s="44"/>
    </row>
    <row r="448">
      <c r="B448" s="43"/>
      <c r="K448" s="44"/>
    </row>
    <row r="449">
      <c r="B449" s="43"/>
      <c r="K449" s="44"/>
    </row>
    <row r="450">
      <c r="B450" s="43"/>
      <c r="K450" s="44"/>
    </row>
    <row r="451">
      <c r="B451" s="43"/>
      <c r="K451" s="44"/>
    </row>
    <row r="452">
      <c r="B452" s="43"/>
      <c r="K452" s="44"/>
    </row>
    <row r="453">
      <c r="B453" s="43"/>
      <c r="K453" s="44"/>
    </row>
    <row r="454">
      <c r="B454" s="43"/>
      <c r="K454" s="44"/>
    </row>
    <row r="455">
      <c r="B455" s="43"/>
      <c r="K455" s="44"/>
    </row>
    <row r="456">
      <c r="B456" s="43"/>
      <c r="K456" s="44"/>
    </row>
    <row r="457">
      <c r="B457" s="43"/>
      <c r="K457" s="44"/>
    </row>
    <row r="458">
      <c r="B458" s="43"/>
      <c r="K458" s="44"/>
    </row>
    <row r="459">
      <c r="B459" s="43"/>
      <c r="K459" s="44"/>
    </row>
    <row r="460">
      <c r="B460" s="43"/>
      <c r="K460" s="44"/>
    </row>
    <row r="461">
      <c r="B461" s="43"/>
      <c r="K461" s="44"/>
    </row>
    <row r="462">
      <c r="B462" s="43"/>
      <c r="K462" s="44"/>
    </row>
    <row r="463">
      <c r="B463" s="43"/>
      <c r="K463" s="44"/>
    </row>
    <row r="464">
      <c r="B464" s="43"/>
      <c r="K464" s="44"/>
    </row>
    <row r="465">
      <c r="B465" s="43"/>
      <c r="K465" s="44"/>
    </row>
    <row r="466">
      <c r="B466" s="43"/>
      <c r="K466" s="44"/>
    </row>
    <row r="467">
      <c r="B467" s="43"/>
      <c r="K467" s="44"/>
    </row>
    <row r="468">
      <c r="B468" s="43"/>
      <c r="K468" s="44"/>
    </row>
    <row r="469">
      <c r="B469" s="43"/>
      <c r="K469" s="44"/>
    </row>
    <row r="470">
      <c r="B470" s="43"/>
      <c r="K470" s="44"/>
    </row>
    <row r="471">
      <c r="B471" s="43"/>
      <c r="K471" s="44"/>
    </row>
    <row r="472">
      <c r="B472" s="43"/>
      <c r="K472" s="44"/>
    </row>
    <row r="473">
      <c r="B473" s="43"/>
      <c r="K473" s="44"/>
    </row>
    <row r="474">
      <c r="B474" s="43"/>
      <c r="K474" s="44"/>
    </row>
    <row r="475">
      <c r="B475" s="43"/>
      <c r="K475" s="44"/>
    </row>
    <row r="476">
      <c r="B476" s="43"/>
      <c r="K476" s="44"/>
    </row>
    <row r="477">
      <c r="B477" s="43"/>
      <c r="K477" s="44"/>
    </row>
    <row r="478">
      <c r="B478" s="43"/>
      <c r="K478" s="44"/>
    </row>
    <row r="479">
      <c r="B479" s="43"/>
      <c r="K479" s="44"/>
    </row>
    <row r="480">
      <c r="B480" s="43"/>
      <c r="K480" s="44"/>
    </row>
    <row r="481">
      <c r="B481" s="43"/>
      <c r="K481" s="44"/>
    </row>
    <row r="482">
      <c r="B482" s="43"/>
      <c r="K482" s="44"/>
    </row>
    <row r="483">
      <c r="B483" s="43"/>
      <c r="K483" s="44"/>
    </row>
    <row r="484">
      <c r="B484" s="43"/>
      <c r="K484" s="44"/>
    </row>
    <row r="485">
      <c r="B485" s="43"/>
      <c r="K485" s="44"/>
    </row>
    <row r="486">
      <c r="B486" s="43"/>
      <c r="K486" s="44"/>
    </row>
    <row r="487">
      <c r="B487" s="43"/>
      <c r="K487" s="44"/>
    </row>
    <row r="488">
      <c r="B488" s="43"/>
      <c r="K488" s="44"/>
    </row>
    <row r="489">
      <c r="B489" s="43"/>
      <c r="K489" s="44"/>
    </row>
    <row r="490">
      <c r="B490" s="43"/>
      <c r="K490" s="44"/>
    </row>
    <row r="491">
      <c r="B491" s="43"/>
      <c r="K491" s="44"/>
    </row>
    <row r="492">
      <c r="B492" s="43"/>
      <c r="K492" s="44"/>
    </row>
    <row r="493">
      <c r="B493" s="43"/>
      <c r="K493" s="44"/>
    </row>
    <row r="494">
      <c r="B494" s="43"/>
      <c r="K494" s="44"/>
    </row>
    <row r="495">
      <c r="B495" s="43"/>
      <c r="K495" s="44"/>
    </row>
    <row r="496">
      <c r="B496" s="43"/>
      <c r="K496" s="44"/>
    </row>
    <row r="497">
      <c r="B497" s="43"/>
      <c r="K497" s="44"/>
    </row>
    <row r="498">
      <c r="B498" s="43"/>
      <c r="K498" s="44"/>
    </row>
    <row r="499">
      <c r="B499" s="43"/>
      <c r="K499" s="44"/>
    </row>
    <row r="500">
      <c r="B500" s="43"/>
      <c r="K500" s="44"/>
    </row>
    <row r="501">
      <c r="B501" s="43"/>
      <c r="K501" s="44"/>
    </row>
    <row r="502">
      <c r="B502" s="43"/>
      <c r="K502" s="44"/>
    </row>
    <row r="503">
      <c r="B503" s="43"/>
      <c r="K503" s="44"/>
    </row>
    <row r="504">
      <c r="B504" s="43"/>
      <c r="K504" s="44"/>
    </row>
    <row r="505">
      <c r="B505" s="43"/>
      <c r="K505" s="44"/>
    </row>
    <row r="506">
      <c r="B506" s="43"/>
      <c r="K506" s="44"/>
    </row>
    <row r="507">
      <c r="B507" s="43"/>
      <c r="K507" s="44"/>
    </row>
    <row r="508">
      <c r="B508" s="43"/>
      <c r="K508" s="44"/>
    </row>
    <row r="509">
      <c r="B509" s="43"/>
      <c r="K509" s="44"/>
    </row>
    <row r="510">
      <c r="B510" s="43"/>
      <c r="K510" s="44"/>
    </row>
    <row r="511">
      <c r="B511" s="43"/>
      <c r="K511" s="44"/>
    </row>
    <row r="512">
      <c r="B512" s="43"/>
      <c r="K512" s="44"/>
    </row>
    <row r="513">
      <c r="B513" s="43"/>
      <c r="K513" s="44"/>
    </row>
    <row r="514">
      <c r="B514" s="43"/>
      <c r="K514" s="44"/>
    </row>
    <row r="515">
      <c r="B515" s="43"/>
      <c r="K515" s="44"/>
    </row>
    <row r="516">
      <c r="B516" s="43"/>
      <c r="K516" s="44"/>
    </row>
    <row r="517">
      <c r="B517" s="43"/>
      <c r="K517" s="44"/>
    </row>
    <row r="518">
      <c r="B518" s="43"/>
      <c r="K518" s="44"/>
    </row>
    <row r="519">
      <c r="B519" s="43"/>
      <c r="K519" s="44"/>
    </row>
    <row r="520">
      <c r="B520" s="43"/>
      <c r="K520" s="44"/>
    </row>
    <row r="521">
      <c r="B521" s="43"/>
      <c r="K521" s="44"/>
    </row>
    <row r="522">
      <c r="B522" s="43"/>
      <c r="K522" s="44"/>
    </row>
    <row r="523">
      <c r="B523" s="43"/>
      <c r="K523" s="44"/>
    </row>
    <row r="524">
      <c r="B524" s="43"/>
      <c r="K524" s="44"/>
    </row>
    <row r="525">
      <c r="B525" s="43"/>
      <c r="K525" s="44"/>
    </row>
    <row r="526">
      <c r="B526" s="43"/>
      <c r="K526" s="44"/>
    </row>
    <row r="527">
      <c r="B527" s="43"/>
      <c r="K527" s="44"/>
    </row>
    <row r="528">
      <c r="B528" s="43"/>
      <c r="K528" s="44"/>
    </row>
    <row r="529">
      <c r="B529" s="43"/>
      <c r="K529" s="44"/>
    </row>
    <row r="530">
      <c r="B530" s="43"/>
      <c r="K530" s="44"/>
    </row>
    <row r="531">
      <c r="B531" s="43"/>
      <c r="K531" s="44"/>
    </row>
    <row r="532">
      <c r="B532" s="43"/>
      <c r="K532" s="44"/>
    </row>
    <row r="533">
      <c r="B533" s="43"/>
      <c r="K533" s="44"/>
    </row>
    <row r="534">
      <c r="B534" s="43"/>
      <c r="K534" s="44"/>
    </row>
    <row r="535">
      <c r="B535" s="43"/>
      <c r="K535" s="44"/>
    </row>
    <row r="536">
      <c r="B536" s="43"/>
      <c r="K536" s="44"/>
    </row>
    <row r="537">
      <c r="B537" s="43"/>
      <c r="K537" s="44"/>
    </row>
    <row r="538">
      <c r="B538" s="43"/>
      <c r="K538" s="44"/>
    </row>
    <row r="539">
      <c r="B539" s="43"/>
      <c r="K539" s="44"/>
    </row>
    <row r="540">
      <c r="B540" s="43"/>
      <c r="K540" s="44"/>
    </row>
    <row r="541">
      <c r="B541" s="43"/>
      <c r="K541" s="44"/>
    </row>
    <row r="542">
      <c r="B542" s="43"/>
      <c r="K542" s="44"/>
    </row>
    <row r="543">
      <c r="B543" s="43"/>
      <c r="K543" s="44"/>
    </row>
    <row r="544">
      <c r="B544" s="43"/>
      <c r="K544" s="44"/>
    </row>
    <row r="545">
      <c r="B545" s="43"/>
      <c r="K545" s="44"/>
    </row>
    <row r="546">
      <c r="B546" s="43"/>
      <c r="K546" s="44"/>
    </row>
    <row r="547">
      <c r="B547" s="43"/>
      <c r="K547" s="44"/>
    </row>
    <row r="548">
      <c r="B548" s="43"/>
      <c r="K548" s="44"/>
    </row>
    <row r="549">
      <c r="B549" s="43"/>
      <c r="K549" s="44"/>
    </row>
    <row r="550">
      <c r="B550" s="43"/>
      <c r="K550" s="44"/>
    </row>
    <row r="551">
      <c r="B551" s="43"/>
      <c r="K551" s="44"/>
    </row>
    <row r="552">
      <c r="B552" s="43"/>
      <c r="K552" s="44"/>
    </row>
    <row r="553">
      <c r="B553" s="43"/>
      <c r="K553" s="44"/>
    </row>
    <row r="554">
      <c r="B554" s="43"/>
      <c r="K554" s="44"/>
    </row>
    <row r="555">
      <c r="B555" s="43"/>
      <c r="K555" s="44"/>
    </row>
    <row r="556">
      <c r="B556" s="43"/>
      <c r="K556" s="44"/>
    </row>
    <row r="557">
      <c r="B557" s="43"/>
      <c r="K557" s="44"/>
    </row>
    <row r="558">
      <c r="B558" s="43"/>
      <c r="K558" s="44"/>
    </row>
    <row r="559">
      <c r="B559" s="43"/>
      <c r="K559" s="44"/>
    </row>
    <row r="560">
      <c r="B560" s="43"/>
      <c r="K560" s="44"/>
    </row>
    <row r="561">
      <c r="B561" s="43"/>
      <c r="K561" s="44"/>
    </row>
    <row r="562">
      <c r="B562" s="43"/>
      <c r="K562" s="44"/>
    </row>
    <row r="563">
      <c r="B563" s="43"/>
      <c r="K563" s="44"/>
    </row>
    <row r="564">
      <c r="B564" s="43"/>
      <c r="K564" s="44"/>
    </row>
    <row r="565">
      <c r="B565" s="43"/>
      <c r="K565" s="44"/>
    </row>
    <row r="566">
      <c r="B566" s="43"/>
      <c r="K566" s="44"/>
    </row>
    <row r="567">
      <c r="B567" s="43"/>
      <c r="K567" s="44"/>
    </row>
    <row r="568">
      <c r="B568" s="43"/>
      <c r="K568" s="44"/>
    </row>
    <row r="569">
      <c r="B569" s="43"/>
      <c r="K569" s="44"/>
    </row>
    <row r="570">
      <c r="B570" s="43"/>
      <c r="K570" s="44"/>
    </row>
    <row r="571">
      <c r="B571" s="43"/>
      <c r="K571" s="44"/>
    </row>
    <row r="572">
      <c r="B572" s="43"/>
      <c r="K572" s="44"/>
    </row>
    <row r="573">
      <c r="B573" s="43"/>
      <c r="K573" s="44"/>
    </row>
    <row r="574">
      <c r="B574" s="43"/>
      <c r="K574" s="44"/>
    </row>
    <row r="575">
      <c r="B575" s="43"/>
      <c r="K575" s="44"/>
    </row>
    <row r="576">
      <c r="B576" s="43"/>
      <c r="K576" s="44"/>
    </row>
    <row r="577">
      <c r="B577" s="43"/>
      <c r="K577" s="44"/>
    </row>
    <row r="578">
      <c r="B578" s="43"/>
      <c r="K578" s="44"/>
    </row>
    <row r="579">
      <c r="B579" s="43"/>
      <c r="K579" s="44"/>
    </row>
    <row r="580">
      <c r="B580" s="43"/>
      <c r="K580" s="44"/>
    </row>
    <row r="581">
      <c r="B581" s="43"/>
      <c r="K581" s="44"/>
    </row>
    <row r="582">
      <c r="B582" s="43"/>
      <c r="K582" s="44"/>
    </row>
    <row r="583">
      <c r="B583" s="43"/>
      <c r="K583" s="44"/>
    </row>
    <row r="584">
      <c r="B584" s="43"/>
      <c r="K584" s="44"/>
    </row>
    <row r="585">
      <c r="B585" s="43"/>
      <c r="K585" s="44"/>
    </row>
    <row r="586">
      <c r="B586" s="43"/>
      <c r="K586" s="44"/>
    </row>
    <row r="587">
      <c r="B587" s="43"/>
      <c r="K587" s="44"/>
    </row>
    <row r="588">
      <c r="B588" s="43"/>
      <c r="K588" s="44"/>
    </row>
    <row r="589">
      <c r="B589" s="43"/>
      <c r="K589" s="44"/>
    </row>
    <row r="590">
      <c r="B590" s="43"/>
      <c r="K590" s="44"/>
    </row>
    <row r="591">
      <c r="B591" s="43"/>
      <c r="K591" s="44"/>
    </row>
    <row r="592">
      <c r="B592" s="43"/>
      <c r="K592" s="44"/>
    </row>
    <row r="593">
      <c r="B593" s="43"/>
      <c r="K593" s="44"/>
    </row>
    <row r="594">
      <c r="B594" s="43"/>
      <c r="K594" s="44"/>
    </row>
    <row r="595">
      <c r="B595" s="43"/>
      <c r="K595" s="44"/>
    </row>
    <row r="596">
      <c r="B596" s="43"/>
      <c r="K596" s="44"/>
    </row>
    <row r="597">
      <c r="B597" s="43"/>
      <c r="K597" s="44"/>
    </row>
    <row r="598">
      <c r="B598" s="43"/>
      <c r="K598" s="44"/>
    </row>
    <row r="599">
      <c r="B599" s="43"/>
      <c r="K599" s="44"/>
    </row>
    <row r="600">
      <c r="B600" s="43"/>
      <c r="K600" s="44"/>
    </row>
    <row r="601">
      <c r="B601" s="43"/>
      <c r="K601" s="44"/>
    </row>
    <row r="602">
      <c r="B602" s="43"/>
      <c r="K602" s="44"/>
    </row>
    <row r="603">
      <c r="B603" s="43"/>
      <c r="K603" s="44"/>
    </row>
    <row r="604">
      <c r="B604" s="43"/>
      <c r="K604" s="44"/>
    </row>
    <row r="605">
      <c r="B605" s="43"/>
      <c r="K605" s="44"/>
    </row>
    <row r="606">
      <c r="B606" s="43"/>
      <c r="K606" s="44"/>
    </row>
    <row r="607">
      <c r="B607" s="43"/>
      <c r="K607" s="44"/>
    </row>
    <row r="608">
      <c r="B608" s="43"/>
      <c r="K608" s="44"/>
    </row>
    <row r="609">
      <c r="B609" s="43"/>
      <c r="K609" s="44"/>
    </row>
    <row r="610">
      <c r="B610" s="43"/>
      <c r="K610" s="44"/>
    </row>
    <row r="611">
      <c r="B611" s="43"/>
      <c r="K611" s="44"/>
    </row>
    <row r="612">
      <c r="B612" s="43"/>
      <c r="K612" s="44"/>
    </row>
    <row r="613">
      <c r="B613" s="43"/>
      <c r="K613" s="44"/>
    </row>
    <row r="614">
      <c r="B614" s="43"/>
      <c r="K614" s="44"/>
    </row>
    <row r="615">
      <c r="B615" s="43"/>
      <c r="K615" s="44"/>
    </row>
    <row r="616">
      <c r="B616" s="43"/>
      <c r="K616" s="44"/>
    </row>
    <row r="617">
      <c r="B617" s="43"/>
      <c r="K617" s="44"/>
    </row>
    <row r="618">
      <c r="B618" s="43"/>
      <c r="K618" s="44"/>
    </row>
    <row r="619">
      <c r="B619" s="43"/>
      <c r="K619" s="44"/>
    </row>
    <row r="620">
      <c r="B620" s="43"/>
      <c r="K620" s="44"/>
    </row>
    <row r="621">
      <c r="B621" s="43"/>
      <c r="K621" s="44"/>
    </row>
    <row r="622">
      <c r="B622" s="43"/>
      <c r="K622" s="44"/>
    </row>
    <row r="623">
      <c r="B623" s="43"/>
      <c r="K623" s="44"/>
    </row>
    <row r="624">
      <c r="B624" s="43"/>
      <c r="K624" s="44"/>
    </row>
    <row r="625">
      <c r="B625" s="43"/>
      <c r="K625" s="44"/>
    </row>
    <row r="626">
      <c r="B626" s="43"/>
      <c r="K626" s="44"/>
    </row>
    <row r="627">
      <c r="B627" s="43"/>
      <c r="K627" s="44"/>
    </row>
    <row r="628">
      <c r="B628" s="43"/>
      <c r="K628" s="44"/>
    </row>
    <row r="629">
      <c r="B629" s="43"/>
      <c r="K629" s="44"/>
    </row>
    <row r="630">
      <c r="B630" s="43"/>
      <c r="K630" s="44"/>
    </row>
    <row r="631">
      <c r="B631" s="43"/>
      <c r="K631" s="44"/>
    </row>
    <row r="632">
      <c r="B632" s="43"/>
      <c r="K632" s="44"/>
    </row>
    <row r="633">
      <c r="B633" s="43"/>
      <c r="K633" s="44"/>
    </row>
    <row r="634">
      <c r="B634" s="43"/>
      <c r="K634" s="44"/>
    </row>
    <row r="635">
      <c r="B635" s="43"/>
      <c r="K635" s="44"/>
    </row>
    <row r="636">
      <c r="B636" s="43"/>
      <c r="K636" s="44"/>
    </row>
    <row r="637">
      <c r="B637" s="43"/>
      <c r="K637" s="44"/>
    </row>
    <row r="638">
      <c r="B638" s="43"/>
      <c r="K638" s="44"/>
    </row>
    <row r="639">
      <c r="B639" s="43"/>
      <c r="K639" s="44"/>
    </row>
    <row r="640">
      <c r="B640" s="43"/>
      <c r="K640" s="44"/>
    </row>
    <row r="641">
      <c r="B641" s="43"/>
      <c r="K641" s="44"/>
    </row>
    <row r="642">
      <c r="B642" s="43"/>
      <c r="K642" s="44"/>
    </row>
    <row r="643">
      <c r="B643" s="43"/>
      <c r="K643" s="44"/>
    </row>
    <row r="644">
      <c r="B644" s="43"/>
      <c r="K644" s="44"/>
    </row>
    <row r="645">
      <c r="B645" s="43"/>
      <c r="K645" s="44"/>
    </row>
    <row r="646">
      <c r="B646" s="43"/>
      <c r="K646" s="44"/>
    </row>
    <row r="647">
      <c r="B647" s="43"/>
      <c r="K647" s="44"/>
    </row>
    <row r="648">
      <c r="B648" s="43"/>
      <c r="K648" s="44"/>
    </row>
    <row r="649">
      <c r="B649" s="43"/>
      <c r="K649" s="44"/>
    </row>
    <row r="650">
      <c r="B650" s="43"/>
      <c r="K650" s="44"/>
    </row>
    <row r="651">
      <c r="B651" s="43"/>
      <c r="K651" s="44"/>
    </row>
    <row r="652">
      <c r="B652" s="43"/>
      <c r="K652" s="44"/>
    </row>
    <row r="653">
      <c r="B653" s="43"/>
      <c r="K653" s="44"/>
    </row>
    <row r="654">
      <c r="B654" s="43"/>
      <c r="K654" s="44"/>
    </row>
    <row r="655">
      <c r="B655" s="43"/>
      <c r="K655" s="44"/>
    </row>
    <row r="656">
      <c r="B656" s="43"/>
      <c r="K656" s="44"/>
    </row>
    <row r="657">
      <c r="B657" s="43"/>
      <c r="K657" s="44"/>
    </row>
    <row r="658">
      <c r="B658" s="43"/>
      <c r="K658" s="44"/>
    </row>
    <row r="659">
      <c r="B659" s="43"/>
      <c r="K659" s="44"/>
    </row>
    <row r="660">
      <c r="B660" s="43"/>
      <c r="K660" s="44"/>
    </row>
    <row r="661">
      <c r="B661" s="43"/>
      <c r="K661" s="44"/>
    </row>
    <row r="662">
      <c r="B662" s="43"/>
      <c r="K662" s="44"/>
    </row>
    <row r="663">
      <c r="B663" s="43"/>
      <c r="K663" s="44"/>
    </row>
    <row r="664">
      <c r="B664" s="43"/>
      <c r="K664" s="44"/>
    </row>
    <row r="665">
      <c r="B665" s="43"/>
      <c r="K665" s="44"/>
    </row>
    <row r="666">
      <c r="B666" s="43"/>
      <c r="K666" s="44"/>
    </row>
    <row r="667">
      <c r="B667" s="43"/>
      <c r="K667" s="44"/>
    </row>
    <row r="668">
      <c r="B668" s="43"/>
      <c r="K668" s="44"/>
    </row>
    <row r="669">
      <c r="B669" s="43"/>
      <c r="K669" s="44"/>
    </row>
    <row r="670">
      <c r="B670" s="43"/>
      <c r="K670" s="44"/>
    </row>
    <row r="671">
      <c r="B671" s="43"/>
      <c r="K671" s="44"/>
    </row>
    <row r="672">
      <c r="B672" s="43"/>
      <c r="K672" s="44"/>
    </row>
    <row r="673">
      <c r="B673" s="43"/>
      <c r="K673" s="44"/>
    </row>
    <row r="674">
      <c r="B674" s="43"/>
      <c r="K674" s="44"/>
    </row>
    <row r="675">
      <c r="B675" s="43"/>
      <c r="K675" s="44"/>
    </row>
    <row r="676">
      <c r="B676" s="43"/>
      <c r="K676" s="44"/>
    </row>
    <row r="677">
      <c r="B677" s="43"/>
      <c r="K677" s="44"/>
    </row>
    <row r="678">
      <c r="B678" s="43"/>
      <c r="K678" s="44"/>
    </row>
    <row r="679">
      <c r="B679" s="43"/>
      <c r="K679" s="44"/>
    </row>
    <row r="680">
      <c r="B680" s="43"/>
      <c r="K680" s="44"/>
    </row>
    <row r="681">
      <c r="B681" s="43"/>
      <c r="K681" s="44"/>
    </row>
    <row r="682">
      <c r="B682" s="43"/>
      <c r="K682" s="44"/>
    </row>
    <row r="683">
      <c r="B683" s="43"/>
      <c r="K683" s="44"/>
    </row>
    <row r="684">
      <c r="B684" s="43"/>
      <c r="K684" s="44"/>
    </row>
    <row r="685">
      <c r="B685" s="43"/>
      <c r="K685" s="44"/>
    </row>
    <row r="686">
      <c r="B686" s="43"/>
      <c r="K686" s="44"/>
    </row>
    <row r="687">
      <c r="B687" s="43"/>
      <c r="K687" s="44"/>
    </row>
    <row r="688">
      <c r="B688" s="43"/>
      <c r="K688" s="44"/>
    </row>
    <row r="689">
      <c r="B689" s="43"/>
      <c r="K689" s="44"/>
    </row>
    <row r="690">
      <c r="B690" s="43"/>
      <c r="K690" s="44"/>
    </row>
    <row r="691">
      <c r="B691" s="43"/>
      <c r="K691" s="44"/>
    </row>
    <row r="692">
      <c r="B692" s="43"/>
      <c r="K692" s="44"/>
    </row>
    <row r="693">
      <c r="B693" s="43"/>
      <c r="K693" s="44"/>
    </row>
    <row r="694">
      <c r="B694" s="43"/>
      <c r="K694" s="44"/>
    </row>
    <row r="695">
      <c r="B695" s="43"/>
      <c r="K695" s="44"/>
    </row>
    <row r="696">
      <c r="B696" s="43"/>
      <c r="K696" s="44"/>
    </row>
    <row r="697">
      <c r="B697" s="43"/>
      <c r="K697" s="44"/>
    </row>
    <row r="698">
      <c r="B698" s="43"/>
      <c r="K698" s="44"/>
    </row>
    <row r="699">
      <c r="B699" s="43"/>
      <c r="K699" s="44"/>
    </row>
    <row r="700">
      <c r="B700" s="43"/>
      <c r="K700" s="44"/>
    </row>
    <row r="701">
      <c r="B701" s="43"/>
      <c r="K701" s="44"/>
    </row>
    <row r="702">
      <c r="B702" s="43"/>
      <c r="K702" s="44"/>
    </row>
    <row r="703">
      <c r="B703" s="43"/>
      <c r="K703" s="44"/>
    </row>
    <row r="704">
      <c r="B704" s="43"/>
      <c r="K704" s="44"/>
    </row>
    <row r="705">
      <c r="B705" s="43"/>
      <c r="K705" s="44"/>
    </row>
    <row r="706">
      <c r="B706" s="43"/>
      <c r="K706" s="44"/>
    </row>
    <row r="707">
      <c r="B707" s="43"/>
      <c r="K707" s="44"/>
    </row>
    <row r="708">
      <c r="B708" s="43"/>
      <c r="K708" s="44"/>
    </row>
    <row r="709">
      <c r="B709" s="43"/>
      <c r="K709" s="44"/>
    </row>
    <row r="710">
      <c r="B710" s="43"/>
      <c r="K710" s="44"/>
    </row>
    <row r="711">
      <c r="B711" s="43"/>
      <c r="K711" s="44"/>
    </row>
    <row r="712">
      <c r="B712" s="43"/>
      <c r="K712" s="44"/>
    </row>
    <row r="713">
      <c r="B713" s="43"/>
      <c r="K713" s="44"/>
    </row>
    <row r="714">
      <c r="B714" s="43"/>
      <c r="K714" s="44"/>
    </row>
    <row r="715">
      <c r="B715" s="43"/>
      <c r="K715" s="44"/>
    </row>
    <row r="716">
      <c r="B716" s="43"/>
      <c r="K716" s="44"/>
    </row>
    <row r="717">
      <c r="B717" s="43"/>
      <c r="K717" s="44"/>
    </row>
    <row r="718">
      <c r="B718" s="43"/>
      <c r="K718" s="44"/>
    </row>
    <row r="719">
      <c r="B719" s="43"/>
      <c r="K719" s="44"/>
    </row>
    <row r="720">
      <c r="B720" s="43"/>
      <c r="K720" s="44"/>
    </row>
    <row r="721">
      <c r="B721" s="43"/>
      <c r="K721" s="44"/>
    </row>
    <row r="722">
      <c r="B722" s="43"/>
      <c r="K722" s="44"/>
    </row>
    <row r="723">
      <c r="B723" s="43"/>
      <c r="K723" s="44"/>
    </row>
    <row r="724">
      <c r="B724" s="43"/>
      <c r="K724" s="44"/>
    </row>
    <row r="725">
      <c r="B725" s="43"/>
      <c r="K725" s="44"/>
    </row>
    <row r="726">
      <c r="B726" s="43"/>
      <c r="K726" s="44"/>
    </row>
    <row r="727">
      <c r="B727" s="43"/>
      <c r="K727" s="44"/>
    </row>
    <row r="728">
      <c r="B728" s="43"/>
      <c r="K728" s="44"/>
    </row>
    <row r="729">
      <c r="B729" s="43"/>
      <c r="K729" s="44"/>
    </row>
    <row r="730">
      <c r="B730" s="43"/>
      <c r="K730" s="44"/>
    </row>
    <row r="731">
      <c r="B731" s="43"/>
      <c r="K731" s="44"/>
    </row>
    <row r="732">
      <c r="B732" s="43"/>
      <c r="K732" s="44"/>
    </row>
    <row r="733">
      <c r="B733" s="43"/>
      <c r="K733" s="44"/>
    </row>
    <row r="734">
      <c r="B734" s="43"/>
      <c r="K734" s="44"/>
    </row>
    <row r="735">
      <c r="B735" s="43"/>
      <c r="K735" s="44"/>
    </row>
    <row r="736">
      <c r="B736" s="43"/>
      <c r="K736" s="44"/>
    </row>
    <row r="737">
      <c r="B737" s="43"/>
      <c r="K737" s="44"/>
    </row>
    <row r="738">
      <c r="B738" s="43"/>
      <c r="K738" s="44"/>
    </row>
    <row r="739">
      <c r="B739" s="43"/>
      <c r="K739" s="44"/>
    </row>
    <row r="740">
      <c r="B740" s="43"/>
      <c r="K740" s="44"/>
    </row>
    <row r="741">
      <c r="B741" s="43"/>
      <c r="K741" s="44"/>
    </row>
    <row r="742">
      <c r="B742" s="43"/>
      <c r="K742" s="44"/>
    </row>
    <row r="743">
      <c r="B743" s="43"/>
      <c r="K743" s="44"/>
    </row>
    <row r="744">
      <c r="B744" s="43"/>
      <c r="K744" s="44"/>
    </row>
    <row r="745">
      <c r="B745" s="43"/>
      <c r="K745" s="44"/>
    </row>
    <row r="746">
      <c r="B746" s="43"/>
      <c r="K746" s="44"/>
    </row>
    <row r="747">
      <c r="B747" s="43"/>
      <c r="K747" s="44"/>
    </row>
    <row r="748">
      <c r="B748" s="43"/>
      <c r="K748" s="44"/>
    </row>
    <row r="749">
      <c r="B749" s="43"/>
      <c r="K749" s="44"/>
    </row>
    <row r="750">
      <c r="B750" s="43"/>
      <c r="K750" s="44"/>
    </row>
    <row r="751">
      <c r="B751" s="43"/>
      <c r="K751" s="44"/>
    </row>
    <row r="752">
      <c r="B752" s="43"/>
      <c r="K752" s="44"/>
    </row>
    <row r="753">
      <c r="B753" s="43"/>
      <c r="K753" s="44"/>
    </row>
    <row r="754">
      <c r="B754" s="43"/>
      <c r="K754" s="44"/>
    </row>
    <row r="755">
      <c r="B755" s="43"/>
      <c r="K755" s="44"/>
    </row>
    <row r="756">
      <c r="B756" s="43"/>
      <c r="K756" s="44"/>
    </row>
    <row r="757">
      <c r="B757" s="43"/>
      <c r="K757" s="44"/>
    </row>
    <row r="758">
      <c r="B758" s="43"/>
      <c r="K758" s="44"/>
    </row>
    <row r="759">
      <c r="B759" s="43"/>
      <c r="K759" s="44"/>
    </row>
    <row r="760">
      <c r="B760" s="43"/>
      <c r="K760" s="44"/>
    </row>
    <row r="761">
      <c r="B761" s="43"/>
      <c r="K761" s="44"/>
    </row>
    <row r="762">
      <c r="B762" s="43"/>
      <c r="K762" s="44"/>
    </row>
    <row r="763">
      <c r="B763" s="43"/>
      <c r="K763" s="44"/>
    </row>
    <row r="764">
      <c r="B764" s="43"/>
      <c r="K764" s="44"/>
    </row>
    <row r="765">
      <c r="B765" s="43"/>
      <c r="K765" s="44"/>
    </row>
    <row r="766">
      <c r="B766" s="43"/>
      <c r="K766" s="44"/>
    </row>
    <row r="767">
      <c r="B767" s="43"/>
      <c r="K767" s="44"/>
    </row>
    <row r="768">
      <c r="B768" s="43"/>
      <c r="K768" s="44"/>
    </row>
    <row r="769">
      <c r="B769" s="43"/>
      <c r="K769" s="44"/>
    </row>
    <row r="770">
      <c r="B770" s="43"/>
      <c r="K770" s="44"/>
    </row>
    <row r="771">
      <c r="B771" s="43"/>
      <c r="K771" s="44"/>
    </row>
    <row r="772">
      <c r="B772" s="43"/>
      <c r="K772" s="44"/>
    </row>
    <row r="773">
      <c r="B773" s="43"/>
      <c r="K773" s="44"/>
    </row>
    <row r="774">
      <c r="B774" s="43"/>
      <c r="K774" s="44"/>
    </row>
    <row r="775">
      <c r="B775" s="43"/>
      <c r="K775" s="44"/>
    </row>
    <row r="776">
      <c r="B776" s="43"/>
      <c r="K776" s="44"/>
    </row>
    <row r="777">
      <c r="B777" s="43"/>
      <c r="K777" s="44"/>
    </row>
    <row r="778">
      <c r="B778" s="43"/>
      <c r="K778" s="44"/>
    </row>
    <row r="779">
      <c r="B779" s="43"/>
      <c r="K779" s="44"/>
    </row>
    <row r="780">
      <c r="B780" s="43"/>
      <c r="K780" s="44"/>
    </row>
    <row r="781">
      <c r="B781" s="43"/>
      <c r="K781" s="44"/>
    </row>
    <row r="782">
      <c r="B782" s="43"/>
      <c r="K782" s="44"/>
    </row>
    <row r="783">
      <c r="B783" s="43"/>
      <c r="K783" s="44"/>
    </row>
    <row r="784">
      <c r="B784" s="43"/>
      <c r="K784" s="44"/>
    </row>
    <row r="785">
      <c r="B785" s="43"/>
      <c r="K785" s="44"/>
    </row>
    <row r="786">
      <c r="B786" s="43"/>
      <c r="K786" s="44"/>
    </row>
    <row r="787">
      <c r="B787" s="43"/>
      <c r="K787" s="44"/>
    </row>
    <row r="788">
      <c r="B788" s="43"/>
      <c r="K788" s="44"/>
    </row>
    <row r="789">
      <c r="B789" s="43"/>
      <c r="K789" s="44"/>
    </row>
    <row r="790">
      <c r="B790" s="43"/>
      <c r="K790" s="44"/>
    </row>
    <row r="791">
      <c r="B791" s="43"/>
      <c r="K791" s="44"/>
    </row>
    <row r="792">
      <c r="B792" s="43"/>
      <c r="K792" s="44"/>
    </row>
    <row r="793">
      <c r="B793" s="43"/>
      <c r="K793" s="44"/>
    </row>
    <row r="794">
      <c r="B794" s="43"/>
      <c r="K794" s="44"/>
    </row>
    <row r="795">
      <c r="B795" s="43"/>
      <c r="K795" s="44"/>
    </row>
    <row r="796">
      <c r="B796" s="43"/>
      <c r="K796" s="44"/>
    </row>
    <row r="797">
      <c r="B797" s="43"/>
      <c r="K797" s="44"/>
    </row>
    <row r="798">
      <c r="B798" s="43"/>
      <c r="K798" s="44"/>
    </row>
    <row r="799">
      <c r="B799" s="43"/>
      <c r="K799" s="44"/>
    </row>
    <row r="800">
      <c r="B800" s="43"/>
      <c r="K800" s="44"/>
    </row>
    <row r="801">
      <c r="B801" s="43"/>
      <c r="K801" s="44"/>
    </row>
    <row r="802">
      <c r="B802" s="43"/>
      <c r="K802" s="44"/>
    </row>
    <row r="803">
      <c r="B803" s="43"/>
      <c r="K803" s="44"/>
    </row>
    <row r="804">
      <c r="B804" s="43"/>
      <c r="K804" s="44"/>
    </row>
    <row r="805">
      <c r="B805" s="43"/>
      <c r="K805" s="44"/>
    </row>
    <row r="806">
      <c r="B806" s="43"/>
      <c r="K806" s="44"/>
    </row>
    <row r="807">
      <c r="B807" s="43"/>
      <c r="K807" s="44"/>
    </row>
    <row r="808">
      <c r="B808" s="43"/>
      <c r="K808" s="44"/>
    </row>
    <row r="809">
      <c r="B809" s="43"/>
      <c r="K809" s="44"/>
    </row>
    <row r="810">
      <c r="B810" s="43"/>
      <c r="K810" s="44"/>
    </row>
    <row r="811">
      <c r="B811" s="43"/>
      <c r="K811" s="44"/>
    </row>
    <row r="812">
      <c r="B812" s="43"/>
      <c r="K812" s="44"/>
    </row>
    <row r="813">
      <c r="B813" s="43"/>
      <c r="K813" s="44"/>
    </row>
    <row r="814">
      <c r="B814" s="43"/>
      <c r="K814" s="44"/>
    </row>
    <row r="815">
      <c r="B815" s="43"/>
      <c r="K815" s="44"/>
    </row>
    <row r="816">
      <c r="B816" s="43"/>
      <c r="K816" s="44"/>
    </row>
    <row r="817">
      <c r="B817" s="43"/>
      <c r="K817" s="44"/>
    </row>
    <row r="818">
      <c r="B818" s="43"/>
      <c r="K818" s="44"/>
    </row>
    <row r="819">
      <c r="B819" s="43"/>
      <c r="K819" s="44"/>
    </row>
    <row r="820">
      <c r="B820" s="43"/>
      <c r="K820" s="44"/>
    </row>
    <row r="821">
      <c r="B821" s="43"/>
      <c r="K821" s="44"/>
    </row>
    <row r="822">
      <c r="B822" s="43"/>
      <c r="K822" s="44"/>
    </row>
    <row r="823">
      <c r="B823" s="43"/>
      <c r="K823" s="44"/>
    </row>
    <row r="824">
      <c r="B824" s="43"/>
      <c r="K824" s="44"/>
    </row>
    <row r="825">
      <c r="B825" s="43"/>
      <c r="K825" s="44"/>
    </row>
    <row r="826">
      <c r="B826" s="43"/>
      <c r="K826" s="44"/>
    </row>
    <row r="827">
      <c r="B827" s="43"/>
      <c r="K827" s="44"/>
    </row>
    <row r="828">
      <c r="B828" s="43"/>
      <c r="K828" s="44"/>
    </row>
    <row r="829">
      <c r="B829" s="43"/>
      <c r="K829" s="44"/>
    </row>
    <row r="830">
      <c r="B830" s="43"/>
      <c r="K830" s="44"/>
    </row>
    <row r="831">
      <c r="B831" s="43"/>
      <c r="K831" s="44"/>
    </row>
    <row r="832">
      <c r="B832" s="43"/>
      <c r="K832" s="44"/>
    </row>
    <row r="833">
      <c r="B833" s="43"/>
      <c r="K833" s="44"/>
    </row>
    <row r="834">
      <c r="B834" s="43"/>
      <c r="K834" s="44"/>
    </row>
    <row r="835">
      <c r="B835" s="43"/>
      <c r="K835" s="44"/>
    </row>
    <row r="836">
      <c r="B836" s="43"/>
      <c r="K836" s="44"/>
    </row>
    <row r="837">
      <c r="B837" s="43"/>
      <c r="K837" s="44"/>
    </row>
    <row r="838">
      <c r="B838" s="43"/>
      <c r="K838" s="44"/>
    </row>
    <row r="839">
      <c r="B839" s="43"/>
      <c r="K839" s="44"/>
    </row>
    <row r="840">
      <c r="B840" s="43"/>
      <c r="K840" s="44"/>
    </row>
    <row r="841">
      <c r="B841" s="43"/>
      <c r="K841" s="44"/>
    </row>
    <row r="842">
      <c r="B842" s="43"/>
      <c r="K842" s="44"/>
    </row>
    <row r="843">
      <c r="B843" s="43"/>
      <c r="K843" s="44"/>
    </row>
    <row r="844">
      <c r="B844" s="43"/>
      <c r="K844" s="44"/>
    </row>
    <row r="845">
      <c r="B845" s="43"/>
      <c r="K845" s="44"/>
    </row>
    <row r="846">
      <c r="B846" s="43"/>
      <c r="K846" s="44"/>
    </row>
    <row r="847">
      <c r="B847" s="43"/>
      <c r="K847" s="44"/>
    </row>
    <row r="848">
      <c r="B848" s="43"/>
      <c r="K848" s="44"/>
    </row>
    <row r="849">
      <c r="B849" s="43"/>
      <c r="K849" s="44"/>
    </row>
    <row r="850">
      <c r="B850" s="43"/>
      <c r="K850" s="44"/>
    </row>
    <row r="851">
      <c r="B851" s="43"/>
      <c r="K851" s="44"/>
    </row>
    <row r="852">
      <c r="B852" s="43"/>
      <c r="K852" s="44"/>
    </row>
    <row r="853">
      <c r="B853" s="43"/>
      <c r="K853" s="44"/>
    </row>
    <row r="854">
      <c r="B854" s="43"/>
      <c r="K854" s="44"/>
    </row>
    <row r="855">
      <c r="B855" s="43"/>
      <c r="K855" s="44"/>
    </row>
    <row r="856">
      <c r="B856" s="43"/>
      <c r="K856" s="44"/>
    </row>
    <row r="857">
      <c r="B857" s="43"/>
      <c r="K857" s="44"/>
    </row>
    <row r="858">
      <c r="B858" s="43"/>
      <c r="K858" s="44"/>
    </row>
    <row r="859">
      <c r="B859" s="43"/>
      <c r="K859" s="44"/>
    </row>
    <row r="860">
      <c r="B860" s="43"/>
      <c r="K860" s="44"/>
    </row>
    <row r="861">
      <c r="B861" s="43"/>
      <c r="K861" s="44"/>
    </row>
    <row r="862">
      <c r="B862" s="43"/>
      <c r="K862" s="44"/>
    </row>
    <row r="863">
      <c r="B863" s="43"/>
      <c r="K863" s="44"/>
    </row>
    <row r="864">
      <c r="B864" s="43"/>
      <c r="K864" s="44"/>
    </row>
    <row r="865">
      <c r="B865" s="43"/>
      <c r="K865" s="44"/>
    </row>
    <row r="866">
      <c r="B866" s="43"/>
      <c r="K866" s="44"/>
    </row>
    <row r="867">
      <c r="B867" s="43"/>
      <c r="K867" s="44"/>
    </row>
    <row r="868">
      <c r="B868" s="43"/>
      <c r="K868" s="44"/>
    </row>
    <row r="869">
      <c r="B869" s="43"/>
      <c r="K869" s="44"/>
    </row>
    <row r="870">
      <c r="B870" s="43"/>
      <c r="K870" s="44"/>
    </row>
    <row r="871">
      <c r="B871" s="43"/>
      <c r="K871" s="44"/>
    </row>
    <row r="872">
      <c r="B872" s="43"/>
      <c r="K872" s="44"/>
    </row>
    <row r="873">
      <c r="B873" s="43"/>
      <c r="K873" s="44"/>
    </row>
    <row r="874">
      <c r="B874" s="43"/>
      <c r="K874" s="44"/>
    </row>
    <row r="875">
      <c r="B875" s="43"/>
      <c r="K875" s="44"/>
    </row>
    <row r="876">
      <c r="B876" s="43"/>
      <c r="K876" s="44"/>
    </row>
    <row r="877">
      <c r="B877" s="43"/>
      <c r="K877" s="44"/>
    </row>
    <row r="878">
      <c r="B878" s="43"/>
      <c r="K878" s="44"/>
    </row>
    <row r="879">
      <c r="B879" s="43"/>
      <c r="K879" s="44"/>
    </row>
    <row r="880">
      <c r="B880" s="43"/>
      <c r="K880" s="44"/>
    </row>
    <row r="881">
      <c r="B881" s="43"/>
      <c r="K881" s="44"/>
    </row>
    <row r="882">
      <c r="B882" s="43"/>
      <c r="K882" s="44"/>
    </row>
    <row r="883">
      <c r="B883" s="43"/>
      <c r="K883" s="44"/>
    </row>
    <row r="884">
      <c r="B884" s="43"/>
      <c r="K884" s="44"/>
    </row>
    <row r="885">
      <c r="B885" s="43"/>
      <c r="K885" s="44"/>
    </row>
    <row r="886">
      <c r="B886" s="43"/>
      <c r="K886" s="44"/>
    </row>
    <row r="887">
      <c r="B887" s="43"/>
      <c r="K887" s="44"/>
    </row>
    <row r="888">
      <c r="B888" s="43"/>
      <c r="K888" s="44"/>
    </row>
    <row r="889">
      <c r="B889" s="43"/>
      <c r="K889" s="44"/>
    </row>
    <row r="890">
      <c r="B890" s="43"/>
      <c r="K890" s="44"/>
    </row>
    <row r="891">
      <c r="B891" s="43"/>
      <c r="K891" s="44"/>
    </row>
    <row r="892">
      <c r="B892" s="43"/>
      <c r="K892" s="44"/>
    </row>
    <row r="893">
      <c r="B893" s="43"/>
      <c r="K893" s="44"/>
    </row>
    <row r="894">
      <c r="B894" s="43"/>
      <c r="K894" s="44"/>
    </row>
    <row r="895">
      <c r="B895" s="43"/>
      <c r="K895" s="44"/>
    </row>
    <row r="896">
      <c r="B896" s="43"/>
      <c r="K896" s="44"/>
    </row>
    <row r="897">
      <c r="B897" s="43"/>
      <c r="K897" s="44"/>
    </row>
    <row r="898">
      <c r="B898" s="43"/>
      <c r="K898" s="44"/>
    </row>
    <row r="899">
      <c r="B899" s="43"/>
      <c r="K899" s="44"/>
    </row>
    <row r="900">
      <c r="B900" s="43"/>
      <c r="K900" s="44"/>
    </row>
    <row r="901">
      <c r="B901" s="43"/>
      <c r="K901" s="44"/>
    </row>
    <row r="902">
      <c r="B902" s="43"/>
      <c r="K902" s="44"/>
    </row>
    <row r="903">
      <c r="B903" s="43"/>
      <c r="K903" s="44"/>
    </row>
    <row r="904">
      <c r="B904" s="43"/>
      <c r="K904" s="44"/>
    </row>
    <row r="905">
      <c r="B905" s="43"/>
      <c r="K905" s="44"/>
    </row>
    <row r="906">
      <c r="B906" s="43"/>
      <c r="K906" s="44"/>
    </row>
    <row r="907">
      <c r="B907" s="43"/>
      <c r="K907" s="44"/>
    </row>
    <row r="908">
      <c r="B908" s="43"/>
      <c r="K908" s="44"/>
    </row>
    <row r="909">
      <c r="B909" s="43"/>
      <c r="K909" s="44"/>
    </row>
    <row r="910">
      <c r="B910" s="43"/>
      <c r="K910" s="44"/>
    </row>
    <row r="911">
      <c r="B911" s="43"/>
      <c r="K911" s="44"/>
    </row>
    <row r="912">
      <c r="B912" s="43"/>
      <c r="K912" s="44"/>
    </row>
    <row r="913">
      <c r="B913" s="43"/>
      <c r="K913" s="44"/>
    </row>
    <row r="914">
      <c r="B914" s="43"/>
      <c r="K914" s="44"/>
    </row>
    <row r="915">
      <c r="B915" s="43"/>
      <c r="K915" s="44"/>
    </row>
    <row r="916">
      <c r="B916" s="43"/>
      <c r="K916" s="44"/>
    </row>
    <row r="917">
      <c r="B917" s="43"/>
      <c r="K917" s="44"/>
    </row>
    <row r="918">
      <c r="B918" s="43"/>
      <c r="K918" s="44"/>
    </row>
    <row r="919">
      <c r="B919" s="43"/>
      <c r="K919" s="44"/>
    </row>
    <row r="920">
      <c r="B920" s="43"/>
      <c r="K920" s="44"/>
    </row>
    <row r="921">
      <c r="B921" s="43"/>
      <c r="K921" s="44"/>
    </row>
    <row r="922">
      <c r="B922" s="43"/>
      <c r="K922" s="44"/>
    </row>
    <row r="923">
      <c r="B923" s="43"/>
      <c r="K923" s="44"/>
    </row>
    <row r="924">
      <c r="B924" s="43"/>
      <c r="K924" s="44"/>
    </row>
    <row r="925">
      <c r="B925" s="43"/>
      <c r="K925" s="44"/>
    </row>
    <row r="926">
      <c r="B926" s="43"/>
      <c r="K926" s="44"/>
    </row>
    <row r="927">
      <c r="B927" s="43"/>
      <c r="K927" s="44"/>
    </row>
    <row r="928">
      <c r="B928" s="43"/>
      <c r="K928" s="44"/>
    </row>
    <row r="929">
      <c r="B929" s="43"/>
      <c r="K929" s="44"/>
    </row>
    <row r="930">
      <c r="B930" s="43"/>
      <c r="K930" s="44"/>
    </row>
    <row r="931">
      <c r="B931" s="43"/>
      <c r="K931" s="44"/>
    </row>
    <row r="932">
      <c r="B932" s="43"/>
      <c r="K932" s="44"/>
    </row>
    <row r="933">
      <c r="B933" s="43"/>
      <c r="K933" s="44"/>
    </row>
    <row r="934">
      <c r="B934" s="43"/>
      <c r="K934" s="44"/>
    </row>
    <row r="935">
      <c r="B935" s="43"/>
      <c r="K935" s="44"/>
    </row>
    <row r="936">
      <c r="B936" s="43"/>
      <c r="K936" s="44"/>
    </row>
    <row r="937">
      <c r="B937" s="43"/>
      <c r="K937" s="44"/>
    </row>
    <row r="938">
      <c r="B938" s="43"/>
      <c r="K938" s="44"/>
    </row>
    <row r="939">
      <c r="B939" s="43"/>
      <c r="K939" s="44"/>
    </row>
    <row r="940">
      <c r="B940" s="43"/>
      <c r="K940" s="44"/>
    </row>
    <row r="941">
      <c r="B941" s="43"/>
      <c r="K941" s="44"/>
    </row>
    <row r="942">
      <c r="B942" s="43"/>
      <c r="K942" s="44"/>
    </row>
    <row r="943">
      <c r="B943" s="43"/>
      <c r="K943" s="44"/>
    </row>
    <row r="944">
      <c r="B944" s="43"/>
      <c r="K944" s="44"/>
    </row>
    <row r="945">
      <c r="B945" s="43"/>
      <c r="K945" s="44"/>
    </row>
    <row r="946">
      <c r="B946" s="43"/>
      <c r="K946" s="44"/>
    </row>
    <row r="947">
      <c r="B947" s="43"/>
      <c r="K947" s="44"/>
    </row>
    <row r="948">
      <c r="B948" s="43"/>
      <c r="K948" s="44"/>
    </row>
    <row r="949">
      <c r="B949" s="43"/>
      <c r="K949" s="44"/>
    </row>
    <row r="950">
      <c r="B950" s="43"/>
      <c r="K950" s="44"/>
    </row>
    <row r="951">
      <c r="B951" s="43"/>
      <c r="K951" s="44"/>
    </row>
    <row r="952">
      <c r="B952" s="43"/>
      <c r="K952" s="44"/>
    </row>
    <row r="953">
      <c r="B953" s="43"/>
      <c r="K953" s="44"/>
    </row>
    <row r="954">
      <c r="B954" s="43"/>
      <c r="K954" s="44"/>
    </row>
    <row r="955">
      <c r="B955" s="43"/>
      <c r="K955" s="44"/>
    </row>
    <row r="956">
      <c r="B956" s="43"/>
      <c r="K956" s="44"/>
    </row>
    <row r="957">
      <c r="B957" s="43"/>
      <c r="K957" s="44"/>
    </row>
    <row r="958">
      <c r="B958" s="43"/>
      <c r="K958" s="44"/>
    </row>
    <row r="959">
      <c r="B959" s="43"/>
      <c r="K959" s="44"/>
    </row>
    <row r="960">
      <c r="B960" s="43"/>
      <c r="K960" s="44"/>
    </row>
    <row r="961">
      <c r="B961" s="43"/>
      <c r="K961" s="44"/>
    </row>
    <row r="962">
      <c r="B962" s="43"/>
      <c r="K962" s="44"/>
    </row>
    <row r="963">
      <c r="B963" s="43"/>
      <c r="K963" s="44"/>
    </row>
    <row r="964">
      <c r="B964" s="43"/>
      <c r="K964" s="44"/>
    </row>
    <row r="965">
      <c r="B965" s="43"/>
      <c r="K965" s="44"/>
    </row>
    <row r="966">
      <c r="B966" s="43"/>
      <c r="K966" s="44"/>
    </row>
    <row r="967">
      <c r="B967" s="43"/>
      <c r="K967" s="44"/>
    </row>
    <row r="968">
      <c r="B968" s="43"/>
      <c r="K968" s="44"/>
    </row>
    <row r="969">
      <c r="B969" s="43"/>
      <c r="K969" s="44"/>
    </row>
    <row r="970">
      <c r="B970" s="43"/>
      <c r="K970" s="44"/>
    </row>
    <row r="971">
      <c r="B971" s="43"/>
      <c r="K971" s="44"/>
    </row>
    <row r="972">
      <c r="B972" s="43"/>
      <c r="K972" s="44"/>
    </row>
    <row r="973">
      <c r="B973" s="43"/>
      <c r="K973" s="44"/>
    </row>
    <row r="974">
      <c r="B974" s="43"/>
      <c r="K974" s="44"/>
    </row>
    <row r="975">
      <c r="B975" s="43"/>
      <c r="K975" s="44"/>
    </row>
    <row r="976">
      <c r="B976" s="43"/>
      <c r="K976" s="44"/>
    </row>
    <row r="977">
      <c r="B977" s="43"/>
      <c r="K977" s="44"/>
    </row>
    <row r="978">
      <c r="B978" s="43"/>
      <c r="K978" s="44"/>
    </row>
    <row r="979">
      <c r="B979" s="43"/>
      <c r="K979" s="44"/>
    </row>
    <row r="980">
      <c r="B980" s="43"/>
      <c r="K980" s="44"/>
    </row>
    <row r="981">
      <c r="B981" s="43"/>
      <c r="K981" s="44"/>
    </row>
    <row r="982">
      <c r="B982" s="43"/>
      <c r="K982" s="44"/>
    </row>
    <row r="983">
      <c r="B983" s="43"/>
      <c r="K983" s="44"/>
    </row>
    <row r="984">
      <c r="B984" s="43"/>
      <c r="K984" s="44"/>
    </row>
    <row r="985">
      <c r="B985" s="43"/>
      <c r="K985" s="44"/>
    </row>
    <row r="986">
      <c r="B986" s="43"/>
      <c r="K986" s="44"/>
    </row>
    <row r="987">
      <c r="B987" s="43"/>
      <c r="K987" s="44"/>
    </row>
    <row r="988">
      <c r="B988" s="43"/>
      <c r="K988" s="44"/>
    </row>
    <row r="989">
      <c r="B989" s="43"/>
      <c r="K989" s="44"/>
    </row>
    <row r="990">
      <c r="B990" s="43"/>
      <c r="K990" s="44"/>
    </row>
    <row r="991">
      <c r="B991" s="43"/>
      <c r="K991" s="44"/>
    </row>
    <row r="992">
      <c r="B992" s="43"/>
      <c r="K992" s="44"/>
    </row>
    <row r="993">
      <c r="B993" s="43"/>
      <c r="K993" s="44"/>
    </row>
    <row r="994">
      <c r="B994" s="43"/>
      <c r="K994" s="44"/>
    </row>
    <row r="995">
      <c r="B995" s="43"/>
      <c r="K995" s="44"/>
    </row>
    <row r="996">
      <c r="B996" s="43"/>
      <c r="K996" s="44"/>
    </row>
    <row r="997">
      <c r="B997" s="43"/>
      <c r="K997" s="44"/>
    </row>
    <row r="998">
      <c r="B998" s="43"/>
      <c r="K998" s="44"/>
    </row>
    <row r="999">
      <c r="B999" s="43"/>
      <c r="K999" s="44"/>
    </row>
  </sheetData>
  <mergeCells count="1">
    <mergeCell ref="A1:K1"/>
  </mergeCells>
  <hyperlinks>
    <hyperlink r:id="rId1" ref="A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</sheetPr>
  <sheetViews>
    <sheetView workbookViewId="0"/>
  </sheetViews>
  <sheetFormatPr customHeight="1" defaultColWidth="12.63" defaultRowHeight="15.75"/>
  <cols>
    <col customWidth="1" min="4" max="4" width="12.63"/>
    <col customWidth="1" min="5" max="5" width="14.25"/>
    <col customWidth="1" min="8" max="8" width="9.63"/>
  </cols>
  <sheetData>
    <row r="1">
      <c r="A1" s="45" t="s">
        <v>93</v>
      </c>
      <c r="I1" s="46"/>
      <c r="J1" s="46"/>
      <c r="K1" s="46"/>
      <c r="L1" s="46"/>
      <c r="M1" s="46"/>
    </row>
    <row r="2">
      <c r="A2" s="47" t="s">
        <v>94</v>
      </c>
      <c r="B2" s="48" t="s">
        <v>95</v>
      </c>
      <c r="C2" s="49" t="s">
        <v>96</v>
      </c>
      <c r="D2" s="50" t="s">
        <v>97</v>
      </c>
      <c r="E2" s="51"/>
      <c r="F2" s="51"/>
      <c r="G2" s="51"/>
      <c r="H2" s="52"/>
      <c r="I2" s="53" t="s">
        <v>98</v>
      </c>
      <c r="J2" s="51"/>
      <c r="K2" s="51"/>
      <c r="L2" s="51"/>
      <c r="M2" s="52"/>
    </row>
    <row r="3">
      <c r="A3" s="54"/>
      <c r="B3" s="54"/>
      <c r="C3" s="54"/>
      <c r="D3" s="55">
        <v>45778.0</v>
      </c>
      <c r="E3" s="56" t="s">
        <v>99</v>
      </c>
      <c r="F3" s="56" t="s">
        <v>100</v>
      </c>
      <c r="G3" s="57" t="s">
        <v>101</v>
      </c>
      <c r="H3" s="57" t="s">
        <v>102</v>
      </c>
      <c r="I3" s="58">
        <v>45778.0</v>
      </c>
      <c r="J3" s="59" t="s">
        <v>103</v>
      </c>
      <c r="K3" s="59" t="s">
        <v>100</v>
      </c>
      <c r="L3" s="60" t="s">
        <v>101</v>
      </c>
      <c r="M3" s="60" t="s">
        <v>102</v>
      </c>
    </row>
    <row r="4">
      <c r="A4" s="61"/>
      <c r="B4" s="61"/>
      <c r="C4" s="61"/>
      <c r="D4" s="62" t="s">
        <v>104</v>
      </c>
      <c r="E4" s="62" t="s">
        <v>104</v>
      </c>
      <c r="F4" s="62" t="s">
        <v>105</v>
      </c>
      <c r="G4" s="63" t="s">
        <v>106</v>
      </c>
      <c r="H4" s="63" t="s">
        <v>107</v>
      </c>
      <c r="I4" s="64" t="s">
        <v>104</v>
      </c>
      <c r="J4" s="64" t="s">
        <v>104</v>
      </c>
      <c r="K4" s="64" t="s">
        <v>105</v>
      </c>
      <c r="L4" s="65" t="s">
        <v>106</v>
      </c>
      <c r="M4" s="65" t="s">
        <v>108</v>
      </c>
    </row>
    <row r="5">
      <c r="A5" s="66">
        <v>1.0</v>
      </c>
      <c r="B5" s="16" t="s">
        <v>9</v>
      </c>
      <c r="C5" s="67" t="s">
        <v>10</v>
      </c>
      <c r="D5" s="68">
        <v>116784.0</v>
      </c>
      <c r="E5" s="69">
        <v>79715.0</v>
      </c>
      <c r="F5" s="69">
        <f t="shared" ref="F5:F68" si="1">E5-D5</f>
        <v>-37069</v>
      </c>
      <c r="G5" s="70">
        <f t="shared" ref="G5:G68" si="2">F5/D5%</f>
        <v>-31.74150569</v>
      </c>
      <c r="H5" s="70">
        <f t="shared" ref="H5:H68" si="3">MIN(6,Max(0,G5*6/100))</f>
        <v>0</v>
      </c>
      <c r="L5" s="71"/>
      <c r="M5" s="71"/>
    </row>
    <row r="6">
      <c r="A6" s="66">
        <v>2.0</v>
      </c>
      <c r="B6" s="16" t="s">
        <v>9</v>
      </c>
      <c r="C6" s="67" t="s">
        <v>11</v>
      </c>
      <c r="D6" s="68">
        <v>64113.0</v>
      </c>
      <c r="E6" s="69">
        <v>42554.0</v>
      </c>
      <c r="F6" s="69">
        <f t="shared" si="1"/>
        <v>-21559</v>
      </c>
      <c r="G6" s="70">
        <f t="shared" si="2"/>
        <v>-33.6265656</v>
      </c>
      <c r="H6" s="70">
        <f t="shared" si="3"/>
        <v>0</v>
      </c>
      <c r="L6" s="71"/>
      <c r="M6" s="71"/>
    </row>
    <row r="7">
      <c r="A7" s="66">
        <v>3.0</v>
      </c>
      <c r="B7" s="16" t="s">
        <v>9</v>
      </c>
      <c r="C7" s="67" t="s">
        <v>17</v>
      </c>
      <c r="D7" s="68">
        <v>44697.0</v>
      </c>
      <c r="E7" s="69">
        <v>24655.0</v>
      </c>
      <c r="F7" s="69">
        <f t="shared" si="1"/>
        <v>-20042</v>
      </c>
      <c r="G7" s="70">
        <f t="shared" si="2"/>
        <v>-44.83969841</v>
      </c>
      <c r="H7" s="70">
        <f t="shared" si="3"/>
        <v>0</v>
      </c>
      <c r="L7" s="71"/>
      <c r="M7" s="71"/>
    </row>
    <row r="8">
      <c r="A8" s="66">
        <v>4.0</v>
      </c>
      <c r="B8" s="16" t="s">
        <v>9</v>
      </c>
      <c r="C8" s="72" t="s">
        <v>12</v>
      </c>
      <c r="D8" s="73">
        <v>36198.0</v>
      </c>
      <c r="E8" s="73">
        <v>22118.0</v>
      </c>
      <c r="F8" s="69">
        <f t="shared" si="1"/>
        <v>-14080</v>
      </c>
      <c r="G8" s="70">
        <f t="shared" si="2"/>
        <v>-38.89717664</v>
      </c>
      <c r="H8" s="70">
        <f t="shared" si="3"/>
        <v>0</v>
      </c>
      <c r="L8" s="71"/>
      <c r="M8" s="71"/>
    </row>
    <row r="9">
      <c r="A9" s="66">
        <v>5.0</v>
      </c>
      <c r="B9" s="16" t="s">
        <v>9</v>
      </c>
      <c r="C9" s="72" t="s">
        <v>13</v>
      </c>
      <c r="D9" s="73">
        <v>27596.0</v>
      </c>
      <c r="E9" s="73">
        <v>22280.0</v>
      </c>
      <c r="F9" s="69">
        <f t="shared" si="1"/>
        <v>-5316</v>
      </c>
      <c r="G9" s="70">
        <f t="shared" si="2"/>
        <v>-19.2636614</v>
      </c>
      <c r="H9" s="70">
        <f t="shared" si="3"/>
        <v>0</v>
      </c>
      <c r="L9" s="71"/>
      <c r="M9" s="71"/>
    </row>
    <row r="10">
      <c r="A10" s="66">
        <v>6.0</v>
      </c>
      <c r="B10" s="16" t="s">
        <v>9</v>
      </c>
      <c r="C10" s="72" t="s">
        <v>14</v>
      </c>
      <c r="D10" s="73">
        <v>24581.0</v>
      </c>
      <c r="E10" s="73">
        <v>18581.0</v>
      </c>
      <c r="F10" s="69">
        <f t="shared" si="1"/>
        <v>-6000</v>
      </c>
      <c r="G10" s="70">
        <f t="shared" si="2"/>
        <v>-24.40909646</v>
      </c>
      <c r="H10" s="70">
        <f t="shared" si="3"/>
        <v>0</v>
      </c>
      <c r="L10" s="71"/>
      <c r="M10" s="71"/>
    </row>
    <row r="11">
      <c r="A11" s="66">
        <v>7.0</v>
      </c>
      <c r="B11" s="16" t="s">
        <v>9</v>
      </c>
      <c r="C11" s="72" t="s">
        <v>15</v>
      </c>
      <c r="D11" s="73">
        <v>74736.0</v>
      </c>
      <c r="E11" s="73">
        <v>37548.0</v>
      </c>
      <c r="F11" s="69">
        <f t="shared" si="1"/>
        <v>-37188</v>
      </c>
      <c r="G11" s="70">
        <f t="shared" si="2"/>
        <v>-49.75915222</v>
      </c>
      <c r="H11" s="70">
        <f t="shared" si="3"/>
        <v>0</v>
      </c>
      <c r="L11" s="71"/>
      <c r="M11" s="71"/>
    </row>
    <row r="12">
      <c r="A12" s="66">
        <v>8.0</v>
      </c>
      <c r="B12" s="16" t="s">
        <v>9</v>
      </c>
      <c r="C12" s="72" t="s">
        <v>16</v>
      </c>
      <c r="D12" s="73">
        <v>45473.0</v>
      </c>
      <c r="E12" s="73">
        <v>26672.0</v>
      </c>
      <c r="F12" s="69">
        <f t="shared" si="1"/>
        <v>-18801</v>
      </c>
      <c r="G12" s="70">
        <f t="shared" si="2"/>
        <v>-41.34541376</v>
      </c>
      <c r="H12" s="70">
        <f t="shared" si="3"/>
        <v>0</v>
      </c>
      <c r="L12" s="71"/>
      <c r="M12" s="71"/>
    </row>
    <row r="13">
      <c r="A13" s="66">
        <v>9.0</v>
      </c>
      <c r="B13" s="16" t="s">
        <v>9</v>
      </c>
      <c r="C13" s="72" t="s">
        <v>109</v>
      </c>
      <c r="D13" s="73">
        <v>26896.0</v>
      </c>
      <c r="E13" s="73">
        <v>17524.0</v>
      </c>
      <c r="F13" s="69">
        <f t="shared" si="1"/>
        <v>-9372</v>
      </c>
      <c r="G13" s="70">
        <f t="shared" si="2"/>
        <v>-34.84533016</v>
      </c>
      <c r="H13" s="70">
        <f t="shared" si="3"/>
        <v>0</v>
      </c>
      <c r="L13" s="71"/>
      <c r="M13" s="71"/>
    </row>
    <row r="14">
      <c r="A14" s="74"/>
      <c r="B14" s="16" t="s">
        <v>9</v>
      </c>
      <c r="C14" s="75" t="s">
        <v>110</v>
      </c>
      <c r="D14" s="76">
        <v>461074.0</v>
      </c>
      <c r="E14" s="76">
        <v>291647.0</v>
      </c>
      <c r="F14" s="77">
        <f t="shared" si="1"/>
        <v>-169427</v>
      </c>
      <c r="G14" s="78">
        <f t="shared" si="2"/>
        <v>-36.74616222</v>
      </c>
      <c r="H14" s="78">
        <f t="shared" si="3"/>
        <v>0</v>
      </c>
      <c r="I14" s="79">
        <v>98.0</v>
      </c>
      <c r="J14" s="79">
        <v>352.0</v>
      </c>
      <c r="K14" s="80">
        <f>J14-I14</f>
        <v>254</v>
      </c>
      <c r="L14" s="81">
        <f>K14/I14%</f>
        <v>259.1836735</v>
      </c>
      <c r="M14" s="81">
        <f>min(5,max(0,L14*5/100))</f>
        <v>5</v>
      </c>
      <c r="N14" s="80"/>
      <c r="O14" s="80"/>
      <c r="P14" s="80"/>
      <c r="Q14" s="80"/>
      <c r="R14" s="80"/>
      <c r="S14" s="80"/>
      <c r="T14" s="80"/>
      <c r="U14" s="80"/>
      <c r="V14" s="80"/>
      <c r="W14" s="80"/>
    </row>
    <row r="15">
      <c r="A15" s="66">
        <v>10.0</v>
      </c>
      <c r="B15" s="16" t="s">
        <v>19</v>
      </c>
      <c r="C15" s="67" t="s">
        <v>21</v>
      </c>
      <c r="D15" s="68">
        <v>106220.0</v>
      </c>
      <c r="E15" s="69">
        <v>62237.0</v>
      </c>
      <c r="F15" s="69">
        <f t="shared" si="1"/>
        <v>-43983</v>
      </c>
      <c r="G15" s="70">
        <f t="shared" si="2"/>
        <v>-41.40745622</v>
      </c>
      <c r="H15" s="70">
        <f t="shared" si="3"/>
        <v>0</v>
      </c>
      <c r="K15" s="80"/>
      <c r="L15" s="81"/>
      <c r="M15" s="81"/>
    </row>
    <row r="16">
      <c r="A16" s="66">
        <v>11.0</v>
      </c>
      <c r="B16" s="16" t="s">
        <v>19</v>
      </c>
      <c r="C16" s="67" t="s">
        <v>26</v>
      </c>
      <c r="D16" s="68">
        <v>155980.0</v>
      </c>
      <c r="E16" s="69">
        <v>81517.0</v>
      </c>
      <c r="F16" s="69">
        <f t="shared" si="1"/>
        <v>-74463</v>
      </c>
      <c r="G16" s="70">
        <f t="shared" si="2"/>
        <v>-47.73881267</v>
      </c>
      <c r="H16" s="70">
        <f t="shared" si="3"/>
        <v>0</v>
      </c>
      <c r="K16" s="80"/>
      <c r="L16" s="81"/>
      <c r="M16" s="81"/>
    </row>
    <row r="17">
      <c r="A17" s="66">
        <v>12.0</v>
      </c>
      <c r="B17" s="16" t="s">
        <v>19</v>
      </c>
      <c r="C17" s="67" t="s">
        <v>27</v>
      </c>
      <c r="D17" s="68">
        <v>99702.0</v>
      </c>
      <c r="E17" s="69">
        <v>57737.0</v>
      </c>
      <c r="F17" s="69">
        <f t="shared" si="1"/>
        <v>-41965</v>
      </c>
      <c r="G17" s="70">
        <f t="shared" si="2"/>
        <v>-42.09042948</v>
      </c>
      <c r="H17" s="70">
        <f t="shared" si="3"/>
        <v>0</v>
      </c>
      <c r="K17" s="80"/>
      <c r="L17" s="81"/>
      <c r="M17" s="81"/>
    </row>
    <row r="18">
      <c r="A18" s="66">
        <v>13.0</v>
      </c>
      <c r="B18" s="16" t="s">
        <v>19</v>
      </c>
      <c r="C18" s="67" t="s">
        <v>29</v>
      </c>
      <c r="D18" s="68">
        <v>32544.0</v>
      </c>
      <c r="E18" s="69">
        <v>23066.0</v>
      </c>
      <c r="F18" s="69">
        <f t="shared" si="1"/>
        <v>-9478</v>
      </c>
      <c r="G18" s="70">
        <f t="shared" si="2"/>
        <v>-29.12364798</v>
      </c>
      <c r="H18" s="70">
        <f t="shared" si="3"/>
        <v>0</v>
      </c>
      <c r="K18" s="80"/>
      <c r="L18" s="81"/>
      <c r="M18" s="81"/>
    </row>
    <row r="19">
      <c r="A19" s="66">
        <v>14.0</v>
      </c>
      <c r="B19" s="16" t="s">
        <v>19</v>
      </c>
      <c r="C19" s="72" t="s">
        <v>20</v>
      </c>
      <c r="D19" s="73">
        <v>33780.0</v>
      </c>
      <c r="E19" s="73">
        <v>18500.0</v>
      </c>
      <c r="F19" s="69">
        <f t="shared" si="1"/>
        <v>-15280</v>
      </c>
      <c r="G19" s="70">
        <f t="shared" si="2"/>
        <v>-45.23386619</v>
      </c>
      <c r="H19" s="70">
        <f t="shared" si="3"/>
        <v>0</v>
      </c>
      <c r="K19" s="80"/>
      <c r="L19" s="81"/>
      <c r="M19" s="81"/>
    </row>
    <row r="20">
      <c r="A20" s="66">
        <v>15.0</v>
      </c>
      <c r="B20" s="16" t="s">
        <v>19</v>
      </c>
      <c r="C20" s="72" t="s">
        <v>22</v>
      </c>
      <c r="D20" s="73">
        <v>32338.0</v>
      </c>
      <c r="E20" s="73">
        <v>21875.0</v>
      </c>
      <c r="F20" s="69">
        <f t="shared" si="1"/>
        <v>-10463</v>
      </c>
      <c r="G20" s="70">
        <f t="shared" si="2"/>
        <v>-32.355124</v>
      </c>
      <c r="H20" s="70">
        <f t="shared" si="3"/>
        <v>0</v>
      </c>
      <c r="K20" s="80"/>
      <c r="L20" s="81"/>
      <c r="M20" s="81"/>
    </row>
    <row r="21">
      <c r="A21" s="66">
        <v>16.0</v>
      </c>
      <c r="B21" s="16" t="s">
        <v>19</v>
      </c>
      <c r="C21" s="72" t="s">
        <v>23</v>
      </c>
      <c r="D21" s="73">
        <v>51362.0</v>
      </c>
      <c r="E21" s="73">
        <v>22216.0</v>
      </c>
      <c r="F21" s="69">
        <f t="shared" si="1"/>
        <v>-29146</v>
      </c>
      <c r="G21" s="70">
        <f t="shared" si="2"/>
        <v>-56.74623262</v>
      </c>
      <c r="H21" s="70">
        <f t="shared" si="3"/>
        <v>0</v>
      </c>
      <c r="K21" s="80"/>
      <c r="L21" s="81"/>
      <c r="M21" s="81"/>
    </row>
    <row r="22">
      <c r="A22" s="66">
        <v>17.0</v>
      </c>
      <c r="B22" s="16" t="s">
        <v>19</v>
      </c>
      <c r="C22" s="72" t="s">
        <v>24</v>
      </c>
      <c r="D22" s="73">
        <v>27442.0</v>
      </c>
      <c r="E22" s="73">
        <v>16031.0</v>
      </c>
      <c r="F22" s="69">
        <f t="shared" si="1"/>
        <v>-11411</v>
      </c>
      <c r="G22" s="70">
        <f t="shared" si="2"/>
        <v>-41.58224619</v>
      </c>
      <c r="H22" s="70">
        <f t="shared" si="3"/>
        <v>0</v>
      </c>
      <c r="K22" s="80"/>
      <c r="L22" s="81"/>
      <c r="M22" s="81"/>
    </row>
    <row r="23">
      <c r="A23" s="66">
        <v>18.0</v>
      </c>
      <c r="B23" s="16" t="s">
        <v>19</v>
      </c>
      <c r="C23" s="72" t="s">
        <v>25</v>
      </c>
      <c r="D23" s="73">
        <v>33208.0</v>
      </c>
      <c r="E23" s="73">
        <v>16007.0</v>
      </c>
      <c r="F23" s="69">
        <f t="shared" si="1"/>
        <v>-17201</v>
      </c>
      <c r="G23" s="70">
        <f t="shared" si="2"/>
        <v>-51.79775958</v>
      </c>
      <c r="H23" s="70">
        <f t="shared" si="3"/>
        <v>0</v>
      </c>
      <c r="K23" s="80"/>
      <c r="L23" s="81"/>
      <c r="M23" s="81"/>
    </row>
    <row r="24">
      <c r="A24" s="66">
        <v>19.0</v>
      </c>
      <c r="B24" s="16" t="s">
        <v>19</v>
      </c>
      <c r="C24" s="72" t="s">
        <v>28</v>
      </c>
      <c r="D24" s="73">
        <v>31445.0</v>
      </c>
      <c r="E24" s="73">
        <v>20812.0</v>
      </c>
      <c r="F24" s="69">
        <f t="shared" si="1"/>
        <v>-10633</v>
      </c>
      <c r="G24" s="70">
        <f t="shared" si="2"/>
        <v>-33.81459692</v>
      </c>
      <c r="H24" s="70">
        <f t="shared" si="3"/>
        <v>0</v>
      </c>
      <c r="K24" s="80"/>
      <c r="L24" s="81"/>
      <c r="M24" s="81"/>
    </row>
    <row r="25">
      <c r="A25" s="66">
        <v>20.0</v>
      </c>
      <c r="B25" s="16" t="s">
        <v>19</v>
      </c>
      <c r="C25" s="72" t="s">
        <v>111</v>
      </c>
      <c r="D25" s="73">
        <v>25068.0</v>
      </c>
      <c r="E25" s="73">
        <v>14274.0</v>
      </c>
      <c r="F25" s="69">
        <f t="shared" si="1"/>
        <v>-10794</v>
      </c>
      <c r="G25" s="70">
        <f t="shared" si="2"/>
        <v>-43.05887985</v>
      </c>
      <c r="H25" s="70">
        <f t="shared" si="3"/>
        <v>0</v>
      </c>
      <c r="K25" s="80"/>
      <c r="L25" s="81"/>
      <c r="M25" s="81"/>
    </row>
    <row r="26">
      <c r="A26" s="66">
        <v>21.0</v>
      </c>
      <c r="B26" s="16" t="s">
        <v>19</v>
      </c>
      <c r="C26" s="72" t="s">
        <v>30</v>
      </c>
      <c r="D26" s="73">
        <v>28403.0</v>
      </c>
      <c r="E26" s="73">
        <v>16049.0</v>
      </c>
      <c r="F26" s="69">
        <f t="shared" si="1"/>
        <v>-12354</v>
      </c>
      <c r="G26" s="70">
        <f t="shared" si="2"/>
        <v>-43.49540541</v>
      </c>
      <c r="H26" s="70">
        <f t="shared" si="3"/>
        <v>0</v>
      </c>
      <c r="K26" s="80"/>
      <c r="L26" s="81"/>
      <c r="M26" s="81"/>
    </row>
    <row r="27">
      <c r="A27" s="74"/>
      <c r="B27" s="16" t="s">
        <v>19</v>
      </c>
      <c r="C27" s="75" t="s">
        <v>110</v>
      </c>
      <c r="D27" s="76">
        <v>657492.0</v>
      </c>
      <c r="E27" s="76">
        <v>370321.0</v>
      </c>
      <c r="F27" s="77">
        <f t="shared" si="1"/>
        <v>-287171</v>
      </c>
      <c r="G27" s="78">
        <f t="shared" si="2"/>
        <v>-43.67672915</v>
      </c>
      <c r="H27" s="78">
        <f t="shared" si="3"/>
        <v>0</v>
      </c>
      <c r="I27" s="79">
        <v>203.0</v>
      </c>
      <c r="J27" s="79">
        <v>424.0</v>
      </c>
      <c r="K27" s="80">
        <f>J27-I27</f>
        <v>221</v>
      </c>
      <c r="L27" s="81">
        <f>K27/I27%</f>
        <v>108.8669951</v>
      </c>
      <c r="M27" s="81">
        <f>min(5,max(0,L27*5/100))</f>
        <v>5</v>
      </c>
      <c r="N27" s="80"/>
      <c r="O27" s="80"/>
      <c r="P27" s="80"/>
      <c r="Q27" s="80"/>
      <c r="R27" s="80"/>
      <c r="S27" s="80"/>
      <c r="T27" s="80"/>
      <c r="U27" s="80"/>
      <c r="V27" s="80"/>
      <c r="W27" s="80"/>
    </row>
    <row r="28">
      <c r="A28" s="66">
        <v>22.0</v>
      </c>
      <c r="B28" s="16" t="s">
        <v>32</v>
      </c>
      <c r="C28" s="67" t="s">
        <v>34</v>
      </c>
      <c r="D28" s="68">
        <v>251752.0</v>
      </c>
      <c r="E28" s="69">
        <v>192368.0</v>
      </c>
      <c r="F28" s="69">
        <f t="shared" si="1"/>
        <v>-59384</v>
      </c>
      <c r="G28" s="70">
        <f t="shared" si="2"/>
        <v>-23.58829324</v>
      </c>
      <c r="H28" s="70">
        <f t="shared" si="3"/>
        <v>0</v>
      </c>
      <c r="K28" s="80"/>
      <c r="L28" s="81"/>
      <c r="M28" s="81"/>
    </row>
    <row r="29">
      <c r="A29" s="66">
        <v>23.0</v>
      </c>
      <c r="B29" s="16" t="s">
        <v>32</v>
      </c>
      <c r="C29" s="67" t="s">
        <v>33</v>
      </c>
      <c r="D29" s="68">
        <v>2353711.0</v>
      </c>
      <c r="E29" s="69">
        <v>2050262.0</v>
      </c>
      <c r="F29" s="69">
        <f t="shared" si="1"/>
        <v>-303449</v>
      </c>
      <c r="G29" s="70">
        <f t="shared" si="2"/>
        <v>-12.89236444</v>
      </c>
      <c r="H29" s="70">
        <f t="shared" si="3"/>
        <v>0</v>
      </c>
      <c r="K29" s="80"/>
      <c r="L29" s="81"/>
      <c r="M29" s="81"/>
    </row>
    <row r="30">
      <c r="A30" s="66">
        <v>24.0</v>
      </c>
      <c r="B30" s="16" t="s">
        <v>32</v>
      </c>
      <c r="C30" s="72" t="s">
        <v>112</v>
      </c>
      <c r="D30" s="73">
        <v>21591.0</v>
      </c>
      <c r="E30" s="73">
        <v>12677.0</v>
      </c>
      <c r="F30" s="69">
        <f t="shared" si="1"/>
        <v>-8914</v>
      </c>
      <c r="G30" s="70">
        <f t="shared" si="2"/>
        <v>-41.2857209</v>
      </c>
      <c r="H30" s="70">
        <f t="shared" si="3"/>
        <v>0</v>
      </c>
      <c r="K30" s="80"/>
      <c r="L30" s="81"/>
      <c r="M30" s="81"/>
    </row>
    <row r="31">
      <c r="A31" s="82"/>
      <c r="B31" s="16" t="s">
        <v>32</v>
      </c>
      <c r="C31" s="83" t="s">
        <v>110</v>
      </c>
      <c r="D31" s="84">
        <v>2627054.0</v>
      </c>
      <c r="E31" s="84">
        <v>2255307.0</v>
      </c>
      <c r="F31" s="85">
        <f t="shared" si="1"/>
        <v>-371747</v>
      </c>
      <c r="G31" s="86">
        <f t="shared" si="2"/>
        <v>-14.15071788</v>
      </c>
      <c r="H31" s="86">
        <f t="shared" si="3"/>
        <v>0</v>
      </c>
      <c r="I31" s="87">
        <v>1236.0</v>
      </c>
      <c r="J31" s="87">
        <v>772.0</v>
      </c>
      <c r="K31" s="80">
        <f>J31-I31</f>
        <v>-464</v>
      </c>
      <c r="L31" s="81">
        <f>K31/I31%</f>
        <v>-37.54045307</v>
      </c>
      <c r="M31" s="81">
        <f>min(5,max(0,L31*5/100))</f>
        <v>0</v>
      </c>
      <c r="N31" s="88"/>
      <c r="O31" s="88"/>
      <c r="P31" s="88"/>
      <c r="Q31" s="88"/>
      <c r="R31" s="88"/>
      <c r="S31" s="88"/>
      <c r="T31" s="88"/>
      <c r="U31" s="88"/>
      <c r="V31" s="88"/>
      <c r="W31" s="88"/>
    </row>
    <row r="32">
      <c r="A32" s="66">
        <v>25.0</v>
      </c>
      <c r="B32" s="16" t="s">
        <v>36</v>
      </c>
      <c r="C32" s="67" t="s">
        <v>42</v>
      </c>
      <c r="D32" s="68">
        <v>90728.0</v>
      </c>
      <c r="E32" s="69">
        <v>48435.0</v>
      </c>
      <c r="F32" s="69">
        <f t="shared" si="1"/>
        <v>-42293</v>
      </c>
      <c r="G32" s="70">
        <f t="shared" si="2"/>
        <v>-46.61515739</v>
      </c>
      <c r="H32" s="70">
        <f t="shared" si="3"/>
        <v>0</v>
      </c>
      <c r="K32" s="80"/>
      <c r="L32" s="81"/>
      <c r="M32" s="81"/>
    </row>
    <row r="33">
      <c r="A33" s="66">
        <v>26.0</v>
      </c>
      <c r="B33" s="16" t="s">
        <v>36</v>
      </c>
      <c r="C33" s="72" t="s">
        <v>37</v>
      </c>
      <c r="D33" s="73">
        <v>59520.0</v>
      </c>
      <c r="E33" s="73">
        <v>35380.0</v>
      </c>
      <c r="F33" s="69">
        <f t="shared" si="1"/>
        <v>-24140</v>
      </c>
      <c r="G33" s="70">
        <f t="shared" si="2"/>
        <v>-40.5577957</v>
      </c>
      <c r="H33" s="70">
        <f t="shared" si="3"/>
        <v>0</v>
      </c>
      <c r="K33" s="80"/>
      <c r="L33" s="81"/>
      <c r="M33" s="81"/>
    </row>
    <row r="34">
      <c r="A34" s="66">
        <v>27.0</v>
      </c>
      <c r="B34" s="16" t="s">
        <v>36</v>
      </c>
      <c r="C34" s="72" t="s">
        <v>38</v>
      </c>
      <c r="D34" s="73">
        <v>28631.0</v>
      </c>
      <c r="E34" s="73">
        <v>30088.0</v>
      </c>
      <c r="F34" s="69">
        <f t="shared" si="1"/>
        <v>1457</v>
      </c>
      <c r="G34" s="70">
        <f t="shared" si="2"/>
        <v>5.088889665</v>
      </c>
      <c r="H34" s="70">
        <f t="shared" si="3"/>
        <v>0.3053333799</v>
      </c>
      <c r="K34" s="80"/>
      <c r="L34" s="81"/>
      <c r="M34" s="81"/>
    </row>
    <row r="35">
      <c r="A35" s="66">
        <v>28.0</v>
      </c>
      <c r="B35" s="16" t="s">
        <v>36</v>
      </c>
      <c r="C35" s="72" t="s">
        <v>39</v>
      </c>
      <c r="D35" s="73">
        <v>63619.0</v>
      </c>
      <c r="E35" s="73">
        <v>36596.0</v>
      </c>
      <c r="F35" s="69">
        <f t="shared" si="1"/>
        <v>-27023</v>
      </c>
      <c r="G35" s="70">
        <f t="shared" si="2"/>
        <v>-42.47630425</v>
      </c>
      <c r="H35" s="70">
        <f t="shared" si="3"/>
        <v>0</v>
      </c>
      <c r="K35" s="80"/>
      <c r="L35" s="81"/>
      <c r="M35" s="81"/>
    </row>
    <row r="36">
      <c r="A36" s="66">
        <v>29.0</v>
      </c>
      <c r="B36" s="16" t="s">
        <v>36</v>
      </c>
      <c r="C36" s="72" t="s">
        <v>40</v>
      </c>
      <c r="D36" s="73">
        <v>45284.0</v>
      </c>
      <c r="E36" s="73">
        <v>29883.0</v>
      </c>
      <c r="F36" s="69">
        <f t="shared" si="1"/>
        <v>-15401</v>
      </c>
      <c r="G36" s="70">
        <f t="shared" si="2"/>
        <v>-34.00980479</v>
      </c>
      <c r="H36" s="70">
        <f t="shared" si="3"/>
        <v>0</v>
      </c>
      <c r="K36" s="80"/>
      <c r="L36" s="81"/>
      <c r="M36" s="81"/>
    </row>
    <row r="37">
      <c r="A37" s="66">
        <v>30.0</v>
      </c>
      <c r="B37" s="16" t="s">
        <v>36</v>
      </c>
      <c r="C37" s="72" t="s">
        <v>41</v>
      </c>
      <c r="D37" s="73">
        <v>44170.0</v>
      </c>
      <c r="E37" s="73">
        <v>22032.0</v>
      </c>
      <c r="F37" s="69">
        <f t="shared" si="1"/>
        <v>-22138</v>
      </c>
      <c r="G37" s="70">
        <f t="shared" si="2"/>
        <v>-50.11999094</v>
      </c>
      <c r="H37" s="70">
        <f t="shared" si="3"/>
        <v>0</v>
      </c>
      <c r="K37" s="80"/>
      <c r="L37" s="81"/>
      <c r="M37" s="81"/>
    </row>
    <row r="38">
      <c r="A38" s="66">
        <v>31.0</v>
      </c>
      <c r="B38" s="16" t="s">
        <v>36</v>
      </c>
      <c r="C38" s="72" t="s">
        <v>113</v>
      </c>
      <c r="D38" s="73">
        <v>12460.0</v>
      </c>
      <c r="E38" s="73">
        <v>10086.0</v>
      </c>
      <c r="F38" s="69">
        <f t="shared" si="1"/>
        <v>-2374</v>
      </c>
      <c r="G38" s="70">
        <f t="shared" si="2"/>
        <v>-19.0529695</v>
      </c>
      <c r="H38" s="70">
        <f t="shared" si="3"/>
        <v>0</v>
      </c>
      <c r="K38" s="80"/>
      <c r="L38" s="81"/>
      <c r="M38" s="81"/>
    </row>
    <row r="39">
      <c r="A39" s="89"/>
      <c r="B39" s="16" t="s">
        <v>36</v>
      </c>
      <c r="C39" s="90" t="s">
        <v>110</v>
      </c>
      <c r="D39" s="90">
        <v>344412.0</v>
      </c>
      <c r="E39" s="90">
        <v>212500.0</v>
      </c>
      <c r="F39" s="77">
        <f t="shared" si="1"/>
        <v>-131912</v>
      </c>
      <c r="G39" s="78">
        <f t="shared" si="2"/>
        <v>-38.30063993</v>
      </c>
      <c r="H39" s="78">
        <f t="shared" si="3"/>
        <v>0</v>
      </c>
      <c r="I39" s="91">
        <v>44.0</v>
      </c>
      <c r="J39" s="91">
        <v>3.0</v>
      </c>
      <c r="K39" s="80">
        <f>J39-I39</f>
        <v>-41</v>
      </c>
      <c r="L39" s="81">
        <f>K39/I39%</f>
        <v>-93.18181818</v>
      </c>
      <c r="M39" s="81">
        <f>min(5,max(0,L39*5/100))</f>
        <v>0</v>
      </c>
      <c r="N39" s="92"/>
      <c r="O39" s="92"/>
      <c r="P39" s="92"/>
      <c r="Q39" s="92"/>
      <c r="R39" s="92"/>
      <c r="S39" s="92"/>
      <c r="T39" s="92"/>
      <c r="U39" s="92"/>
      <c r="V39" s="92"/>
      <c r="W39" s="92"/>
    </row>
    <row r="40">
      <c r="A40" s="66">
        <v>32.0</v>
      </c>
      <c r="B40" s="16" t="s">
        <v>44</v>
      </c>
      <c r="C40" s="67" t="s">
        <v>46</v>
      </c>
      <c r="D40" s="68">
        <v>34528.0</v>
      </c>
      <c r="E40" s="69">
        <v>18220.0</v>
      </c>
      <c r="F40" s="69">
        <f t="shared" si="1"/>
        <v>-16308</v>
      </c>
      <c r="G40" s="70">
        <f t="shared" si="2"/>
        <v>-47.23123262</v>
      </c>
      <c r="H40" s="70">
        <f t="shared" si="3"/>
        <v>0</v>
      </c>
      <c r="K40" s="80"/>
      <c r="L40" s="81"/>
      <c r="M40" s="81"/>
    </row>
    <row r="41">
      <c r="A41" s="66">
        <v>33.0</v>
      </c>
      <c r="B41" s="16" t="s">
        <v>44</v>
      </c>
      <c r="C41" s="67" t="s">
        <v>48</v>
      </c>
      <c r="D41" s="68">
        <v>83040.0</v>
      </c>
      <c r="E41" s="69">
        <v>54171.0</v>
      </c>
      <c r="F41" s="69">
        <f t="shared" si="1"/>
        <v>-28869</v>
      </c>
      <c r="G41" s="70">
        <f t="shared" si="2"/>
        <v>-34.76517341</v>
      </c>
      <c r="H41" s="70">
        <f t="shared" si="3"/>
        <v>0</v>
      </c>
      <c r="K41" s="80"/>
      <c r="L41" s="81"/>
      <c r="M41" s="81"/>
    </row>
    <row r="42">
      <c r="A42" s="66">
        <v>34.0</v>
      </c>
      <c r="B42" s="16" t="s">
        <v>44</v>
      </c>
      <c r="C42" s="67" t="s">
        <v>49</v>
      </c>
      <c r="D42" s="68">
        <v>605475.0</v>
      </c>
      <c r="E42" s="69">
        <v>120426.0</v>
      </c>
      <c r="F42" s="69">
        <f t="shared" si="1"/>
        <v>-485049</v>
      </c>
      <c r="G42" s="70">
        <f t="shared" si="2"/>
        <v>-80.11049176</v>
      </c>
      <c r="H42" s="70">
        <f t="shared" si="3"/>
        <v>0</v>
      </c>
      <c r="K42" s="80"/>
      <c r="L42" s="81"/>
      <c r="M42" s="81"/>
    </row>
    <row r="43">
      <c r="A43" s="66">
        <v>35.0</v>
      </c>
      <c r="B43" s="16" t="s">
        <v>44</v>
      </c>
      <c r="C43" s="72" t="s">
        <v>45</v>
      </c>
      <c r="D43" s="73">
        <v>52404.0</v>
      </c>
      <c r="E43" s="73">
        <v>25108.0</v>
      </c>
      <c r="F43" s="69">
        <f t="shared" si="1"/>
        <v>-27296</v>
      </c>
      <c r="G43" s="70">
        <f t="shared" si="2"/>
        <v>-52.0876269</v>
      </c>
      <c r="H43" s="70">
        <f t="shared" si="3"/>
        <v>0</v>
      </c>
      <c r="K43" s="80"/>
      <c r="L43" s="81"/>
      <c r="M43" s="81"/>
    </row>
    <row r="44">
      <c r="A44" s="66">
        <v>36.0</v>
      </c>
      <c r="B44" s="16" t="s">
        <v>44</v>
      </c>
      <c r="C44" s="72" t="s">
        <v>47</v>
      </c>
      <c r="D44" s="73">
        <v>24795.0</v>
      </c>
      <c r="E44" s="73">
        <v>13746.0</v>
      </c>
      <c r="F44" s="69">
        <f t="shared" si="1"/>
        <v>-11049</v>
      </c>
      <c r="G44" s="70">
        <f t="shared" si="2"/>
        <v>-44.56140351</v>
      </c>
      <c r="H44" s="70">
        <f t="shared" si="3"/>
        <v>0</v>
      </c>
      <c r="K44" s="80"/>
      <c r="L44" s="81"/>
      <c r="M44" s="81"/>
    </row>
    <row r="45">
      <c r="A45" s="66">
        <v>37.0</v>
      </c>
      <c r="B45" s="16" t="s">
        <v>44</v>
      </c>
      <c r="C45" s="72" t="s">
        <v>50</v>
      </c>
      <c r="D45" s="73">
        <v>48755.0</v>
      </c>
      <c r="E45" s="73">
        <v>30567.0</v>
      </c>
      <c r="F45" s="69">
        <f t="shared" si="1"/>
        <v>-18188</v>
      </c>
      <c r="G45" s="70">
        <f t="shared" si="2"/>
        <v>-37.30489181</v>
      </c>
      <c r="H45" s="70">
        <f t="shared" si="3"/>
        <v>0</v>
      </c>
      <c r="K45" s="80"/>
      <c r="L45" s="81"/>
      <c r="M45" s="81"/>
    </row>
    <row r="46">
      <c r="A46" s="66">
        <v>38.0</v>
      </c>
      <c r="B46" s="16" t="s">
        <v>44</v>
      </c>
      <c r="C46" s="72" t="s">
        <v>114</v>
      </c>
      <c r="D46" s="73">
        <v>21335.0</v>
      </c>
      <c r="E46" s="73">
        <v>18809.0</v>
      </c>
      <c r="F46" s="69">
        <f t="shared" si="1"/>
        <v>-2526</v>
      </c>
      <c r="G46" s="70">
        <f t="shared" si="2"/>
        <v>-11.83970002</v>
      </c>
      <c r="H46" s="70">
        <f t="shared" si="3"/>
        <v>0</v>
      </c>
      <c r="K46" s="80"/>
      <c r="L46" s="81"/>
      <c r="M46" s="81"/>
    </row>
    <row r="47">
      <c r="A47" s="74"/>
      <c r="B47" s="16" t="s">
        <v>44</v>
      </c>
      <c r="C47" s="90" t="s">
        <v>110</v>
      </c>
      <c r="D47" s="76">
        <v>870332.0</v>
      </c>
      <c r="E47" s="76">
        <v>281047.0</v>
      </c>
      <c r="F47" s="77">
        <f t="shared" si="1"/>
        <v>-589285</v>
      </c>
      <c r="G47" s="78">
        <f t="shared" si="2"/>
        <v>-67.70807002</v>
      </c>
      <c r="H47" s="78">
        <f t="shared" si="3"/>
        <v>0</v>
      </c>
      <c r="I47" s="79">
        <v>424.0</v>
      </c>
      <c r="J47" s="79">
        <v>468.0</v>
      </c>
      <c r="K47" s="80">
        <f>J47-I47</f>
        <v>44</v>
      </c>
      <c r="L47" s="81">
        <f>K47/I47%</f>
        <v>10.37735849</v>
      </c>
      <c r="M47" s="81">
        <f>min(5,max(0,L47*5/100))</f>
        <v>0.5188679245</v>
      </c>
      <c r="N47" s="80"/>
      <c r="O47" s="80"/>
      <c r="P47" s="80"/>
      <c r="Q47" s="80"/>
      <c r="R47" s="80"/>
      <c r="S47" s="80"/>
      <c r="T47" s="80"/>
      <c r="U47" s="80"/>
      <c r="V47" s="80"/>
      <c r="W47" s="80"/>
    </row>
    <row r="48">
      <c r="A48" s="66">
        <v>39.0</v>
      </c>
      <c r="B48" s="16" t="s">
        <v>52</v>
      </c>
      <c r="C48" s="67" t="s">
        <v>53</v>
      </c>
      <c r="D48" s="68">
        <v>56888.0</v>
      </c>
      <c r="E48" s="69">
        <v>44157.0</v>
      </c>
      <c r="F48" s="69">
        <f t="shared" si="1"/>
        <v>-12731</v>
      </c>
      <c r="G48" s="70">
        <f t="shared" si="2"/>
        <v>-22.37906061</v>
      </c>
      <c r="H48" s="70">
        <f t="shared" si="3"/>
        <v>0</v>
      </c>
      <c r="K48" s="80"/>
      <c r="L48" s="81"/>
      <c r="M48" s="81"/>
    </row>
    <row r="49">
      <c r="A49" s="66">
        <v>40.0</v>
      </c>
      <c r="B49" s="16" t="s">
        <v>52</v>
      </c>
      <c r="C49" s="67" t="s">
        <v>55</v>
      </c>
      <c r="D49" s="68">
        <v>285178.0</v>
      </c>
      <c r="E49" s="69">
        <v>205084.0</v>
      </c>
      <c r="F49" s="69">
        <f t="shared" si="1"/>
        <v>-80094</v>
      </c>
      <c r="G49" s="70">
        <f t="shared" si="2"/>
        <v>-28.0856167</v>
      </c>
      <c r="H49" s="70">
        <f t="shared" si="3"/>
        <v>0</v>
      </c>
      <c r="K49" s="80"/>
      <c r="L49" s="81"/>
      <c r="M49" s="81"/>
    </row>
    <row r="50">
      <c r="A50" s="66">
        <v>41.0</v>
      </c>
      <c r="B50" s="16" t="s">
        <v>52</v>
      </c>
      <c r="C50" s="67" t="s">
        <v>56</v>
      </c>
      <c r="D50" s="68">
        <v>434518.0</v>
      </c>
      <c r="E50" s="69">
        <v>254713.0</v>
      </c>
      <c r="F50" s="69">
        <f t="shared" si="1"/>
        <v>-179805</v>
      </c>
      <c r="G50" s="70">
        <f t="shared" si="2"/>
        <v>-41.38033407</v>
      </c>
      <c r="H50" s="70">
        <f t="shared" si="3"/>
        <v>0</v>
      </c>
      <c r="K50" s="80"/>
      <c r="L50" s="81"/>
      <c r="M50" s="81"/>
    </row>
    <row r="51">
      <c r="A51" s="66">
        <v>42.0</v>
      </c>
      <c r="B51" s="16" t="s">
        <v>52</v>
      </c>
      <c r="C51" s="67" t="s">
        <v>58</v>
      </c>
      <c r="D51" s="68">
        <v>27185.0</v>
      </c>
      <c r="E51" s="69">
        <v>22308.0</v>
      </c>
      <c r="F51" s="69">
        <f t="shared" si="1"/>
        <v>-4877</v>
      </c>
      <c r="G51" s="70">
        <f t="shared" si="2"/>
        <v>-17.94004046</v>
      </c>
      <c r="H51" s="70">
        <f t="shared" si="3"/>
        <v>0</v>
      </c>
      <c r="K51" s="80"/>
      <c r="L51" s="81"/>
      <c r="M51" s="81"/>
    </row>
    <row r="52">
      <c r="A52" s="66">
        <v>43.0</v>
      </c>
      <c r="B52" s="16" t="s">
        <v>52</v>
      </c>
      <c r="C52" s="72" t="s">
        <v>54</v>
      </c>
      <c r="D52" s="73">
        <v>29945.0</v>
      </c>
      <c r="E52" s="73">
        <v>14516.0</v>
      </c>
      <c r="F52" s="69">
        <f t="shared" si="1"/>
        <v>-15429</v>
      </c>
      <c r="G52" s="70">
        <f t="shared" si="2"/>
        <v>-51.52446151</v>
      </c>
      <c r="H52" s="70">
        <f t="shared" si="3"/>
        <v>0</v>
      </c>
      <c r="K52" s="80"/>
      <c r="L52" s="81"/>
      <c r="M52" s="81"/>
    </row>
    <row r="53">
      <c r="A53" s="66">
        <v>44.0</v>
      </c>
      <c r="B53" s="16" t="s">
        <v>52</v>
      </c>
      <c r="C53" s="72" t="s">
        <v>57</v>
      </c>
      <c r="D53" s="73">
        <v>24532.0</v>
      </c>
      <c r="E53" s="73">
        <v>24461.0</v>
      </c>
      <c r="F53" s="69">
        <f t="shared" si="1"/>
        <v>-71</v>
      </c>
      <c r="G53" s="70">
        <f t="shared" si="2"/>
        <v>-0.2894179031</v>
      </c>
      <c r="H53" s="70">
        <f t="shared" si="3"/>
        <v>0</v>
      </c>
      <c r="K53" s="80"/>
      <c r="L53" s="81"/>
      <c r="M53" s="81"/>
    </row>
    <row r="54">
      <c r="A54" s="66">
        <v>45.0</v>
      </c>
      <c r="B54" s="16" t="s">
        <v>52</v>
      </c>
      <c r="C54" s="72" t="s">
        <v>115</v>
      </c>
      <c r="D54" s="73">
        <v>23303.0</v>
      </c>
      <c r="E54" s="73">
        <v>16911.0</v>
      </c>
      <c r="F54" s="69">
        <f t="shared" si="1"/>
        <v>-6392</v>
      </c>
      <c r="G54" s="70">
        <f t="shared" si="2"/>
        <v>-27.42994464</v>
      </c>
      <c r="H54" s="70">
        <f t="shared" si="3"/>
        <v>0</v>
      </c>
      <c r="K54" s="80"/>
      <c r="L54" s="81"/>
      <c r="M54" s="81"/>
    </row>
    <row r="55">
      <c r="A55" s="74"/>
      <c r="B55" s="16" t="s">
        <v>52</v>
      </c>
      <c r="C55" s="90" t="s">
        <v>110</v>
      </c>
      <c r="D55" s="76">
        <v>881549.0</v>
      </c>
      <c r="E55" s="76">
        <v>582150.0</v>
      </c>
      <c r="F55" s="77">
        <f t="shared" si="1"/>
        <v>-299399</v>
      </c>
      <c r="G55" s="78">
        <f t="shared" si="2"/>
        <v>-33.96283133</v>
      </c>
      <c r="H55" s="78">
        <f t="shared" si="3"/>
        <v>0</v>
      </c>
      <c r="I55" s="79">
        <v>1289.0</v>
      </c>
      <c r="J55" s="79">
        <v>2817.0</v>
      </c>
      <c r="K55" s="80">
        <f>J55-I55</f>
        <v>1528</v>
      </c>
      <c r="L55" s="81">
        <f>K55/I55%</f>
        <v>118.541505</v>
      </c>
      <c r="M55" s="81">
        <f>min(5,max(0,L55*5/100))</f>
        <v>5</v>
      </c>
      <c r="N55" s="80"/>
      <c r="O55" s="80"/>
      <c r="P55" s="80"/>
      <c r="Q55" s="80"/>
      <c r="R55" s="80"/>
      <c r="S55" s="80"/>
      <c r="T55" s="80"/>
      <c r="U55" s="80"/>
      <c r="V55" s="80"/>
      <c r="W55" s="80"/>
    </row>
    <row r="56">
      <c r="A56" s="66">
        <v>46.0</v>
      </c>
      <c r="B56" s="16" t="s">
        <v>60</v>
      </c>
      <c r="C56" s="67" t="s">
        <v>61</v>
      </c>
      <c r="D56" s="68">
        <v>40327.0</v>
      </c>
      <c r="E56" s="69">
        <v>20924.0</v>
      </c>
      <c r="F56" s="69">
        <f t="shared" si="1"/>
        <v>-19403</v>
      </c>
      <c r="G56" s="70">
        <f t="shared" si="2"/>
        <v>-48.11416669</v>
      </c>
      <c r="H56" s="70">
        <f t="shared" si="3"/>
        <v>0</v>
      </c>
      <c r="K56" s="80"/>
      <c r="L56" s="81"/>
      <c r="M56" s="81"/>
    </row>
    <row r="57">
      <c r="A57" s="66">
        <v>47.0</v>
      </c>
      <c r="B57" s="16" t="s">
        <v>60</v>
      </c>
      <c r="C57" s="67" t="s">
        <v>63</v>
      </c>
      <c r="D57" s="68">
        <v>175714.0</v>
      </c>
      <c r="E57" s="69">
        <v>111709.0</v>
      </c>
      <c r="F57" s="69">
        <f t="shared" si="1"/>
        <v>-64005</v>
      </c>
      <c r="G57" s="70">
        <f t="shared" si="2"/>
        <v>-36.42566898</v>
      </c>
      <c r="H57" s="70">
        <f t="shared" si="3"/>
        <v>0</v>
      </c>
      <c r="K57" s="80"/>
      <c r="L57" s="81"/>
      <c r="M57" s="81"/>
    </row>
    <row r="58">
      <c r="A58" s="66">
        <v>48.0</v>
      </c>
      <c r="B58" s="16" t="s">
        <v>60</v>
      </c>
      <c r="C58" s="72" t="s">
        <v>62</v>
      </c>
      <c r="D58" s="73">
        <v>25798.0</v>
      </c>
      <c r="E58" s="73">
        <v>15613.0</v>
      </c>
      <c r="F58" s="69">
        <f t="shared" si="1"/>
        <v>-10185</v>
      </c>
      <c r="G58" s="70">
        <f t="shared" si="2"/>
        <v>-39.47980464</v>
      </c>
      <c r="H58" s="70">
        <f t="shared" si="3"/>
        <v>0</v>
      </c>
      <c r="K58" s="80"/>
      <c r="L58" s="81"/>
      <c r="M58" s="81"/>
    </row>
    <row r="59">
      <c r="A59" s="66">
        <v>49.0</v>
      </c>
      <c r="B59" s="16" t="s">
        <v>60</v>
      </c>
      <c r="C59" s="72" t="s">
        <v>116</v>
      </c>
      <c r="D59" s="73">
        <v>19589.0</v>
      </c>
      <c r="E59" s="73">
        <v>13303.0</v>
      </c>
      <c r="F59" s="69">
        <f t="shared" si="1"/>
        <v>-6286</v>
      </c>
      <c r="G59" s="70">
        <f t="shared" si="2"/>
        <v>-32.08943795</v>
      </c>
      <c r="H59" s="70">
        <f t="shared" si="3"/>
        <v>0</v>
      </c>
      <c r="K59" s="80"/>
      <c r="L59" s="81"/>
      <c r="M59" s="81"/>
    </row>
    <row r="60">
      <c r="A60" s="66">
        <v>50.0</v>
      </c>
      <c r="B60" s="16" t="s">
        <v>60</v>
      </c>
      <c r="C60" s="72" t="s">
        <v>64</v>
      </c>
      <c r="D60" s="73">
        <v>45740.0</v>
      </c>
      <c r="E60" s="73">
        <v>25105.0</v>
      </c>
      <c r="F60" s="69">
        <f t="shared" si="1"/>
        <v>-20635</v>
      </c>
      <c r="G60" s="70">
        <f t="shared" si="2"/>
        <v>-45.11368605</v>
      </c>
      <c r="H60" s="70">
        <f t="shared" si="3"/>
        <v>0</v>
      </c>
      <c r="K60" s="80"/>
      <c r="L60" s="81"/>
      <c r="M60" s="81"/>
    </row>
    <row r="61">
      <c r="A61" s="74"/>
      <c r="B61" s="16" t="s">
        <v>60</v>
      </c>
      <c r="C61" s="90" t="s">
        <v>110</v>
      </c>
      <c r="D61" s="76">
        <v>307168.0</v>
      </c>
      <c r="E61" s="76">
        <v>186654.0</v>
      </c>
      <c r="F61" s="77">
        <f t="shared" si="1"/>
        <v>-120514</v>
      </c>
      <c r="G61" s="78">
        <f t="shared" si="2"/>
        <v>-39.23390457</v>
      </c>
      <c r="H61" s="78">
        <f t="shared" si="3"/>
        <v>0</v>
      </c>
      <c r="I61" s="79">
        <v>47.0</v>
      </c>
      <c r="J61" s="79">
        <v>49.0</v>
      </c>
      <c r="K61" s="80">
        <f>J61-I61</f>
        <v>2</v>
      </c>
      <c r="L61" s="81">
        <f>K61/I61%</f>
        <v>4.255319149</v>
      </c>
      <c r="M61" s="81">
        <f>min(5,max(0,L61*5/100))</f>
        <v>0.2127659574</v>
      </c>
      <c r="N61" s="80"/>
      <c r="O61" s="80"/>
      <c r="P61" s="80"/>
      <c r="Q61" s="80"/>
      <c r="R61" s="80"/>
      <c r="S61" s="80"/>
      <c r="T61" s="80"/>
      <c r="U61" s="80"/>
      <c r="V61" s="80"/>
      <c r="W61" s="80"/>
    </row>
    <row r="62">
      <c r="A62" s="66">
        <v>51.0</v>
      </c>
      <c r="B62" s="16" t="s">
        <v>66</v>
      </c>
      <c r="C62" s="67" t="s">
        <v>70</v>
      </c>
      <c r="D62" s="68">
        <v>44711.0</v>
      </c>
      <c r="E62" s="69">
        <v>26525.0</v>
      </c>
      <c r="F62" s="69">
        <f t="shared" si="1"/>
        <v>-18186</v>
      </c>
      <c r="G62" s="70">
        <f t="shared" si="2"/>
        <v>-40.67455436</v>
      </c>
      <c r="H62" s="70">
        <f t="shared" si="3"/>
        <v>0</v>
      </c>
      <c r="K62" s="80"/>
      <c r="L62" s="81"/>
      <c r="M62" s="81"/>
    </row>
    <row r="63">
      <c r="A63" s="66">
        <v>52.0</v>
      </c>
      <c r="B63" s="16" t="s">
        <v>66</v>
      </c>
      <c r="C63" s="67" t="s">
        <v>71</v>
      </c>
      <c r="D63" s="68">
        <v>89287.0</v>
      </c>
      <c r="E63" s="69">
        <v>67597.0</v>
      </c>
      <c r="F63" s="69">
        <f t="shared" si="1"/>
        <v>-21690</v>
      </c>
      <c r="G63" s="70">
        <f t="shared" si="2"/>
        <v>-24.29245019</v>
      </c>
      <c r="H63" s="70">
        <f t="shared" si="3"/>
        <v>0</v>
      </c>
      <c r="K63" s="80"/>
      <c r="L63" s="81"/>
      <c r="M63" s="81"/>
    </row>
    <row r="64">
      <c r="A64" s="66">
        <v>53.0</v>
      </c>
      <c r="B64" s="16" t="s">
        <v>66</v>
      </c>
      <c r="C64" s="72" t="s">
        <v>67</v>
      </c>
      <c r="D64" s="73">
        <v>30894.0</v>
      </c>
      <c r="E64" s="73">
        <v>15404.0</v>
      </c>
      <c r="F64" s="69">
        <f t="shared" si="1"/>
        <v>-15490</v>
      </c>
      <c r="G64" s="70">
        <f t="shared" si="2"/>
        <v>-50.1391856</v>
      </c>
      <c r="H64" s="70">
        <f t="shared" si="3"/>
        <v>0</v>
      </c>
      <c r="K64" s="80"/>
      <c r="L64" s="81"/>
      <c r="M64" s="81"/>
    </row>
    <row r="65">
      <c r="A65" s="66">
        <v>54.0</v>
      </c>
      <c r="B65" s="16" t="s">
        <v>66</v>
      </c>
      <c r="C65" s="72" t="s">
        <v>68</v>
      </c>
      <c r="D65" s="73">
        <v>27608.0</v>
      </c>
      <c r="E65" s="73">
        <v>17085.0</v>
      </c>
      <c r="F65" s="69">
        <f t="shared" si="1"/>
        <v>-10523</v>
      </c>
      <c r="G65" s="70">
        <f t="shared" si="2"/>
        <v>-38.11576355</v>
      </c>
      <c r="H65" s="70">
        <f t="shared" si="3"/>
        <v>0</v>
      </c>
      <c r="K65" s="80"/>
      <c r="L65" s="81"/>
      <c r="M65" s="81"/>
    </row>
    <row r="66">
      <c r="A66" s="66">
        <v>55.0</v>
      </c>
      <c r="B66" s="16" t="s">
        <v>66</v>
      </c>
      <c r="C66" s="72" t="s">
        <v>69</v>
      </c>
      <c r="D66" s="73">
        <v>33765.0</v>
      </c>
      <c r="E66" s="73">
        <v>22290.0</v>
      </c>
      <c r="F66" s="69">
        <f t="shared" si="1"/>
        <v>-11475</v>
      </c>
      <c r="G66" s="70">
        <f t="shared" si="2"/>
        <v>-33.9848956</v>
      </c>
      <c r="H66" s="70">
        <f t="shared" si="3"/>
        <v>0</v>
      </c>
      <c r="K66" s="80"/>
      <c r="L66" s="81"/>
      <c r="M66" s="81"/>
    </row>
    <row r="67">
      <c r="A67" s="74"/>
      <c r="B67" s="16" t="s">
        <v>66</v>
      </c>
      <c r="C67" s="90" t="s">
        <v>110</v>
      </c>
      <c r="D67" s="76">
        <v>226265.0</v>
      </c>
      <c r="E67" s="76">
        <v>148901.0</v>
      </c>
      <c r="F67" s="77">
        <f t="shared" si="1"/>
        <v>-77364</v>
      </c>
      <c r="G67" s="78">
        <f t="shared" si="2"/>
        <v>-34.19176629</v>
      </c>
      <c r="H67" s="93">
        <f t="shared" si="3"/>
        <v>0</v>
      </c>
      <c r="I67" s="79">
        <v>19.0</v>
      </c>
      <c r="J67" s="79">
        <v>271.0</v>
      </c>
      <c r="K67" s="80">
        <f t="shared" ref="K67:K68" si="4">J67-I67</f>
        <v>252</v>
      </c>
      <c r="L67" s="81">
        <f t="shared" ref="L67:L68" si="5">K67/I67%</f>
        <v>1326.315789</v>
      </c>
      <c r="M67" s="81">
        <f t="shared" ref="M67:M68" si="6">min(5,max(0,L67*5/100))</f>
        <v>5</v>
      </c>
      <c r="N67" s="80"/>
      <c r="O67" s="80"/>
      <c r="P67" s="80"/>
      <c r="Q67" s="80"/>
      <c r="R67" s="80"/>
      <c r="S67" s="80"/>
      <c r="T67" s="80"/>
      <c r="U67" s="80"/>
      <c r="V67" s="80"/>
      <c r="W67" s="80"/>
    </row>
    <row r="68">
      <c r="A68" s="94">
        <v>56.0</v>
      </c>
      <c r="B68" s="95" t="s">
        <v>73</v>
      </c>
      <c r="C68" s="96" t="s">
        <v>117</v>
      </c>
      <c r="D68" s="94">
        <v>6375346.0</v>
      </c>
      <c r="E68" s="94">
        <v>4328527.0</v>
      </c>
      <c r="F68" s="77">
        <f t="shared" si="1"/>
        <v>-2046819</v>
      </c>
      <c r="G68" s="78">
        <f t="shared" si="2"/>
        <v>-32.10522221</v>
      </c>
      <c r="H68" s="93">
        <f t="shared" si="3"/>
        <v>0</v>
      </c>
      <c r="I68" s="80">
        <v>3360.0</v>
      </c>
      <c r="J68" s="80">
        <f>sum(J14:J67)</f>
        <v>5156</v>
      </c>
      <c r="K68" s="80">
        <f t="shared" si="4"/>
        <v>1796</v>
      </c>
      <c r="L68" s="81">
        <f t="shared" si="5"/>
        <v>53.45238095</v>
      </c>
      <c r="M68" s="81">
        <f t="shared" si="6"/>
        <v>2.672619048</v>
      </c>
      <c r="N68" s="80"/>
      <c r="O68" s="80"/>
      <c r="P68" s="80"/>
      <c r="Q68" s="80"/>
      <c r="R68" s="80"/>
      <c r="S68" s="80"/>
      <c r="T68" s="80"/>
      <c r="U68" s="80"/>
      <c r="V68" s="80"/>
      <c r="W68" s="80"/>
    </row>
    <row r="69">
      <c r="B69" s="97"/>
      <c r="C69" s="43"/>
      <c r="G69" s="71"/>
      <c r="H69" s="71"/>
      <c r="L69" s="71"/>
      <c r="M69" s="71"/>
    </row>
    <row r="70">
      <c r="B70" s="97"/>
      <c r="C70" s="43"/>
      <c r="G70" s="71"/>
      <c r="H70" s="71"/>
      <c r="L70" s="71"/>
      <c r="M70" s="71"/>
    </row>
    <row r="71">
      <c r="B71" s="97"/>
      <c r="C71" s="43"/>
      <c r="G71" s="71"/>
      <c r="H71" s="71"/>
      <c r="L71" s="71"/>
      <c r="M71" s="71"/>
    </row>
    <row r="72">
      <c r="B72" s="97"/>
      <c r="C72" s="43"/>
      <c r="G72" s="71"/>
      <c r="H72" s="71"/>
      <c r="L72" s="71"/>
      <c r="M72" s="71"/>
    </row>
    <row r="73">
      <c r="B73" s="97"/>
      <c r="C73" s="43"/>
      <c r="G73" s="71"/>
      <c r="H73" s="71"/>
      <c r="L73" s="71"/>
      <c r="M73" s="71"/>
    </row>
    <row r="74">
      <c r="B74" s="97"/>
      <c r="C74" s="43"/>
      <c r="G74" s="71"/>
      <c r="H74" s="71"/>
      <c r="L74" s="71"/>
      <c r="M74" s="71"/>
    </row>
    <row r="75">
      <c r="B75" s="97"/>
      <c r="C75" s="43"/>
      <c r="G75" s="71"/>
      <c r="H75" s="71"/>
      <c r="L75" s="71"/>
      <c r="M75" s="71"/>
    </row>
    <row r="76">
      <c r="B76" s="97"/>
      <c r="C76" s="43"/>
      <c r="G76" s="71"/>
      <c r="H76" s="71"/>
      <c r="L76" s="71"/>
      <c r="M76" s="71"/>
    </row>
    <row r="77">
      <c r="B77" s="97"/>
      <c r="C77" s="43"/>
      <c r="G77" s="71"/>
      <c r="H77" s="71"/>
      <c r="L77" s="71"/>
      <c r="M77" s="71"/>
    </row>
    <row r="78">
      <c r="B78" s="97"/>
      <c r="C78" s="43"/>
      <c r="G78" s="71"/>
      <c r="H78" s="71"/>
      <c r="L78" s="71"/>
      <c r="M78" s="71"/>
    </row>
    <row r="79">
      <c r="B79" s="97"/>
      <c r="C79" s="43"/>
      <c r="G79" s="71"/>
      <c r="H79" s="71"/>
      <c r="L79" s="71"/>
      <c r="M79" s="71"/>
    </row>
    <row r="80">
      <c r="B80" s="97"/>
      <c r="C80" s="43"/>
      <c r="G80" s="71"/>
      <c r="H80" s="71"/>
      <c r="L80" s="71"/>
      <c r="M80" s="71"/>
    </row>
    <row r="81">
      <c r="B81" s="97"/>
      <c r="C81" s="43"/>
      <c r="G81" s="71"/>
      <c r="H81" s="71"/>
      <c r="L81" s="71"/>
      <c r="M81" s="71"/>
    </row>
    <row r="82">
      <c r="B82" s="97"/>
      <c r="C82" s="43"/>
      <c r="G82" s="71"/>
      <c r="H82" s="71"/>
      <c r="L82" s="71"/>
      <c r="M82" s="71"/>
    </row>
    <row r="83">
      <c r="B83" s="97"/>
      <c r="C83" s="43"/>
      <c r="G83" s="71"/>
      <c r="H83" s="71"/>
      <c r="L83" s="71"/>
      <c r="M83" s="71"/>
    </row>
    <row r="84">
      <c r="B84" s="97"/>
      <c r="C84" s="43"/>
      <c r="G84" s="71"/>
      <c r="H84" s="71"/>
      <c r="L84" s="71"/>
      <c r="M84" s="71"/>
    </row>
    <row r="85">
      <c r="B85" s="97"/>
      <c r="C85" s="43"/>
      <c r="G85" s="71"/>
      <c r="H85" s="71"/>
      <c r="L85" s="71"/>
      <c r="M85" s="71"/>
    </row>
    <row r="86">
      <c r="B86" s="97"/>
      <c r="C86" s="43"/>
      <c r="G86" s="71"/>
      <c r="H86" s="71"/>
      <c r="L86" s="71"/>
      <c r="M86" s="71"/>
    </row>
    <row r="87">
      <c r="B87" s="97"/>
      <c r="C87" s="43"/>
      <c r="G87" s="71"/>
      <c r="H87" s="71"/>
      <c r="L87" s="71"/>
      <c r="M87" s="71"/>
    </row>
    <row r="88">
      <c r="B88" s="97"/>
      <c r="C88" s="43"/>
      <c r="G88" s="71"/>
      <c r="H88" s="71"/>
      <c r="L88" s="71"/>
      <c r="M88" s="71"/>
    </row>
    <row r="89">
      <c r="B89" s="97"/>
      <c r="C89" s="43"/>
      <c r="G89" s="71"/>
      <c r="H89" s="71"/>
      <c r="L89" s="71"/>
      <c r="M89" s="71"/>
    </row>
    <row r="90">
      <c r="B90" s="97"/>
      <c r="C90" s="43"/>
      <c r="G90" s="71"/>
      <c r="H90" s="71"/>
      <c r="L90" s="71"/>
      <c r="M90" s="71"/>
    </row>
    <row r="91">
      <c r="B91" s="97"/>
      <c r="C91" s="43"/>
      <c r="G91" s="71"/>
      <c r="H91" s="71"/>
      <c r="L91" s="71"/>
      <c r="M91" s="71"/>
    </row>
    <row r="92">
      <c r="B92" s="97"/>
      <c r="C92" s="43"/>
      <c r="G92" s="71"/>
      <c r="H92" s="71"/>
      <c r="L92" s="71"/>
      <c r="M92" s="71"/>
    </row>
    <row r="93">
      <c r="B93" s="97"/>
      <c r="C93" s="43"/>
      <c r="G93" s="71"/>
      <c r="H93" s="71"/>
      <c r="L93" s="71"/>
      <c r="M93" s="71"/>
    </row>
    <row r="94">
      <c r="B94" s="97"/>
      <c r="C94" s="43"/>
      <c r="G94" s="71"/>
      <c r="H94" s="71"/>
      <c r="L94" s="71"/>
      <c r="M94" s="71"/>
    </row>
    <row r="95">
      <c r="B95" s="97"/>
      <c r="C95" s="43"/>
      <c r="G95" s="71"/>
      <c r="H95" s="71"/>
      <c r="L95" s="71"/>
      <c r="M95" s="71"/>
    </row>
    <row r="96">
      <c r="B96" s="97"/>
      <c r="C96" s="43"/>
      <c r="G96" s="71"/>
      <c r="H96" s="71"/>
      <c r="L96" s="71"/>
      <c r="M96" s="71"/>
    </row>
    <row r="97">
      <c r="B97" s="97"/>
      <c r="C97" s="43"/>
      <c r="G97" s="71"/>
      <c r="H97" s="71"/>
      <c r="L97" s="71"/>
      <c r="M97" s="71"/>
    </row>
    <row r="98">
      <c r="B98" s="97"/>
      <c r="C98" s="43"/>
      <c r="G98" s="71"/>
      <c r="H98" s="71"/>
      <c r="L98" s="71"/>
      <c r="M98" s="71"/>
    </row>
    <row r="99">
      <c r="B99" s="97"/>
      <c r="C99" s="43"/>
      <c r="G99" s="71"/>
      <c r="H99" s="71"/>
      <c r="L99" s="71"/>
      <c r="M99" s="71"/>
    </row>
    <row r="100">
      <c r="B100" s="97"/>
      <c r="C100" s="43"/>
      <c r="G100" s="71"/>
      <c r="H100" s="71"/>
      <c r="L100" s="71"/>
      <c r="M100" s="71"/>
    </row>
    <row r="101">
      <c r="B101" s="97"/>
      <c r="C101" s="43"/>
      <c r="G101" s="71"/>
      <c r="H101" s="71"/>
      <c r="L101" s="71"/>
      <c r="M101" s="71"/>
    </row>
    <row r="102">
      <c r="B102" s="97"/>
      <c r="C102" s="43"/>
      <c r="G102" s="71"/>
      <c r="H102" s="71"/>
      <c r="L102" s="71"/>
      <c r="M102" s="71"/>
    </row>
    <row r="103">
      <c r="B103" s="97"/>
      <c r="C103" s="43"/>
      <c r="G103" s="71"/>
      <c r="H103" s="71"/>
      <c r="L103" s="71"/>
      <c r="M103" s="71"/>
    </row>
    <row r="104">
      <c r="B104" s="97"/>
      <c r="C104" s="43"/>
      <c r="G104" s="71"/>
      <c r="H104" s="71"/>
      <c r="L104" s="71"/>
      <c r="M104" s="71"/>
    </row>
    <row r="105">
      <c r="B105" s="97"/>
      <c r="C105" s="43"/>
      <c r="G105" s="71"/>
      <c r="H105" s="71"/>
      <c r="L105" s="71"/>
      <c r="M105" s="71"/>
    </row>
    <row r="106">
      <c r="B106" s="97"/>
      <c r="C106" s="43"/>
      <c r="G106" s="71"/>
      <c r="H106" s="71"/>
      <c r="L106" s="71"/>
      <c r="M106" s="71"/>
    </row>
    <row r="107">
      <c r="B107" s="97"/>
      <c r="C107" s="43"/>
      <c r="G107" s="71"/>
      <c r="H107" s="71"/>
      <c r="L107" s="71"/>
      <c r="M107" s="71"/>
    </row>
    <row r="108">
      <c r="B108" s="97"/>
      <c r="C108" s="43"/>
      <c r="G108" s="71"/>
      <c r="H108" s="71"/>
      <c r="L108" s="71"/>
      <c r="M108" s="71"/>
    </row>
    <row r="109">
      <c r="B109" s="97"/>
      <c r="C109" s="43"/>
      <c r="G109" s="71"/>
      <c r="H109" s="71"/>
      <c r="L109" s="71"/>
      <c r="M109" s="71"/>
    </row>
    <row r="110">
      <c r="B110" s="97"/>
      <c r="C110" s="43"/>
      <c r="G110" s="71"/>
      <c r="H110" s="71"/>
      <c r="L110" s="71"/>
      <c r="M110" s="71"/>
    </row>
    <row r="111">
      <c r="B111" s="97"/>
      <c r="C111" s="43"/>
      <c r="G111" s="71"/>
      <c r="H111" s="71"/>
      <c r="L111" s="71"/>
      <c r="M111" s="71"/>
    </row>
    <row r="112">
      <c r="B112" s="97"/>
      <c r="C112" s="43"/>
      <c r="G112" s="71"/>
      <c r="H112" s="71"/>
      <c r="L112" s="71"/>
      <c r="M112" s="71"/>
    </row>
    <row r="113">
      <c r="B113" s="97"/>
      <c r="C113" s="43"/>
      <c r="G113" s="71"/>
      <c r="H113" s="71"/>
      <c r="L113" s="71"/>
      <c r="M113" s="71"/>
    </row>
    <row r="114">
      <c r="B114" s="97"/>
      <c r="C114" s="43"/>
      <c r="G114" s="71"/>
      <c r="H114" s="71"/>
      <c r="L114" s="71"/>
      <c r="M114" s="71"/>
    </row>
    <row r="115">
      <c r="B115" s="97"/>
      <c r="C115" s="43"/>
      <c r="G115" s="71"/>
      <c r="H115" s="71"/>
      <c r="L115" s="71"/>
      <c r="M115" s="71"/>
    </row>
    <row r="116">
      <c r="B116" s="97"/>
      <c r="C116" s="43"/>
      <c r="G116" s="71"/>
      <c r="H116" s="71"/>
      <c r="L116" s="71"/>
      <c r="M116" s="71"/>
    </row>
    <row r="117">
      <c r="B117" s="97"/>
      <c r="C117" s="43"/>
      <c r="G117" s="71"/>
      <c r="H117" s="71"/>
      <c r="L117" s="71"/>
      <c r="M117" s="71"/>
    </row>
    <row r="118">
      <c r="B118" s="97"/>
      <c r="C118" s="43"/>
      <c r="G118" s="71"/>
      <c r="H118" s="71"/>
      <c r="L118" s="71"/>
      <c r="M118" s="71"/>
    </row>
    <row r="119">
      <c r="B119" s="97"/>
      <c r="C119" s="43"/>
      <c r="G119" s="71"/>
      <c r="H119" s="71"/>
      <c r="L119" s="71"/>
      <c r="M119" s="71"/>
    </row>
    <row r="120">
      <c r="B120" s="97"/>
      <c r="C120" s="43"/>
      <c r="G120" s="71"/>
      <c r="H120" s="71"/>
      <c r="L120" s="71"/>
      <c r="M120" s="71"/>
    </row>
    <row r="121">
      <c r="B121" s="97"/>
      <c r="C121" s="43"/>
      <c r="G121" s="71"/>
      <c r="H121" s="71"/>
      <c r="L121" s="71"/>
      <c r="M121" s="71"/>
    </row>
    <row r="122">
      <c r="B122" s="97"/>
      <c r="C122" s="43"/>
      <c r="G122" s="71"/>
      <c r="H122" s="71"/>
      <c r="L122" s="71"/>
      <c r="M122" s="71"/>
    </row>
    <row r="123">
      <c r="B123" s="97"/>
      <c r="C123" s="43"/>
      <c r="G123" s="71"/>
      <c r="H123" s="71"/>
      <c r="L123" s="71"/>
      <c r="M123" s="71"/>
    </row>
    <row r="124">
      <c r="B124" s="97"/>
      <c r="C124" s="43"/>
      <c r="G124" s="71"/>
      <c r="H124" s="71"/>
      <c r="L124" s="71"/>
      <c r="M124" s="71"/>
    </row>
    <row r="125">
      <c r="B125" s="97"/>
      <c r="C125" s="43"/>
      <c r="G125" s="71"/>
      <c r="H125" s="71"/>
      <c r="L125" s="71"/>
      <c r="M125" s="71"/>
    </row>
    <row r="126">
      <c r="B126" s="97"/>
      <c r="C126" s="43"/>
      <c r="G126" s="71"/>
      <c r="H126" s="71"/>
      <c r="L126" s="71"/>
      <c r="M126" s="71"/>
    </row>
    <row r="127">
      <c r="B127" s="97"/>
      <c r="C127" s="43"/>
      <c r="G127" s="71"/>
      <c r="H127" s="71"/>
      <c r="L127" s="71"/>
      <c r="M127" s="71"/>
    </row>
    <row r="128">
      <c r="B128" s="97"/>
      <c r="C128" s="43"/>
      <c r="G128" s="71"/>
      <c r="H128" s="71"/>
      <c r="L128" s="71"/>
      <c r="M128" s="71"/>
    </row>
    <row r="129">
      <c r="B129" s="97"/>
      <c r="C129" s="43"/>
      <c r="G129" s="71"/>
      <c r="H129" s="71"/>
      <c r="L129" s="71"/>
      <c r="M129" s="71"/>
    </row>
    <row r="130">
      <c r="B130" s="97"/>
      <c r="C130" s="43"/>
      <c r="G130" s="71"/>
      <c r="H130" s="71"/>
      <c r="L130" s="71"/>
      <c r="M130" s="71"/>
    </row>
    <row r="131">
      <c r="B131" s="97"/>
      <c r="C131" s="43"/>
      <c r="G131" s="71"/>
      <c r="H131" s="71"/>
      <c r="L131" s="71"/>
      <c r="M131" s="71"/>
    </row>
    <row r="132">
      <c r="B132" s="97"/>
      <c r="C132" s="43"/>
      <c r="G132" s="71"/>
      <c r="H132" s="71"/>
      <c r="L132" s="71"/>
      <c r="M132" s="71"/>
    </row>
    <row r="133">
      <c r="B133" s="97"/>
      <c r="C133" s="43"/>
      <c r="G133" s="71"/>
      <c r="H133" s="71"/>
      <c r="L133" s="71"/>
      <c r="M133" s="71"/>
    </row>
    <row r="134">
      <c r="B134" s="97"/>
      <c r="C134" s="43"/>
      <c r="G134" s="71"/>
      <c r="H134" s="71"/>
      <c r="L134" s="71"/>
      <c r="M134" s="71"/>
    </row>
    <row r="135">
      <c r="B135" s="97"/>
      <c r="C135" s="43"/>
      <c r="G135" s="71"/>
      <c r="H135" s="71"/>
      <c r="L135" s="71"/>
      <c r="M135" s="71"/>
    </row>
    <row r="136">
      <c r="B136" s="97"/>
      <c r="C136" s="43"/>
      <c r="G136" s="71"/>
      <c r="H136" s="71"/>
      <c r="L136" s="71"/>
      <c r="M136" s="71"/>
    </row>
    <row r="137">
      <c r="B137" s="97"/>
      <c r="C137" s="43"/>
      <c r="G137" s="71"/>
      <c r="H137" s="71"/>
      <c r="L137" s="71"/>
      <c r="M137" s="71"/>
    </row>
    <row r="138">
      <c r="B138" s="97"/>
      <c r="C138" s="43"/>
      <c r="G138" s="71"/>
      <c r="H138" s="71"/>
      <c r="L138" s="71"/>
      <c r="M138" s="71"/>
    </row>
    <row r="139">
      <c r="B139" s="97"/>
      <c r="C139" s="43"/>
      <c r="G139" s="71"/>
      <c r="H139" s="71"/>
      <c r="L139" s="71"/>
      <c r="M139" s="71"/>
    </row>
    <row r="140">
      <c r="B140" s="97"/>
      <c r="C140" s="43"/>
      <c r="G140" s="71"/>
      <c r="H140" s="71"/>
      <c r="L140" s="71"/>
      <c r="M140" s="71"/>
    </row>
    <row r="141">
      <c r="B141" s="97"/>
      <c r="C141" s="43"/>
      <c r="G141" s="71"/>
      <c r="H141" s="71"/>
      <c r="L141" s="71"/>
      <c r="M141" s="71"/>
    </row>
    <row r="142">
      <c r="B142" s="97"/>
      <c r="C142" s="43"/>
      <c r="G142" s="71"/>
      <c r="H142" s="71"/>
      <c r="L142" s="71"/>
      <c r="M142" s="71"/>
    </row>
    <row r="143">
      <c r="B143" s="97"/>
      <c r="C143" s="43"/>
      <c r="G143" s="71"/>
      <c r="H143" s="71"/>
      <c r="L143" s="71"/>
      <c r="M143" s="71"/>
    </row>
    <row r="144">
      <c r="B144" s="97"/>
      <c r="C144" s="43"/>
      <c r="G144" s="71"/>
      <c r="H144" s="71"/>
      <c r="L144" s="71"/>
      <c r="M144" s="71"/>
    </row>
    <row r="145">
      <c r="B145" s="97"/>
      <c r="C145" s="43"/>
      <c r="G145" s="71"/>
      <c r="H145" s="71"/>
      <c r="L145" s="71"/>
      <c r="M145" s="71"/>
    </row>
    <row r="146">
      <c r="B146" s="97"/>
      <c r="C146" s="43"/>
      <c r="G146" s="71"/>
      <c r="H146" s="71"/>
      <c r="L146" s="71"/>
      <c r="M146" s="71"/>
    </row>
    <row r="147">
      <c r="B147" s="97"/>
      <c r="C147" s="43"/>
      <c r="G147" s="71"/>
      <c r="H147" s="71"/>
      <c r="L147" s="71"/>
      <c r="M147" s="71"/>
    </row>
    <row r="148">
      <c r="B148" s="97"/>
      <c r="C148" s="43"/>
      <c r="G148" s="71"/>
      <c r="H148" s="71"/>
      <c r="L148" s="71"/>
      <c r="M148" s="71"/>
    </row>
    <row r="149">
      <c r="B149" s="97"/>
      <c r="C149" s="43"/>
      <c r="G149" s="71"/>
      <c r="H149" s="71"/>
      <c r="L149" s="71"/>
      <c r="M149" s="71"/>
    </row>
    <row r="150">
      <c r="B150" s="97"/>
      <c r="C150" s="43"/>
      <c r="G150" s="71"/>
      <c r="H150" s="71"/>
      <c r="L150" s="71"/>
      <c r="M150" s="71"/>
    </row>
    <row r="151">
      <c r="B151" s="97"/>
      <c r="C151" s="43"/>
      <c r="G151" s="71"/>
      <c r="H151" s="71"/>
      <c r="L151" s="71"/>
      <c r="M151" s="71"/>
    </row>
    <row r="152">
      <c r="B152" s="97"/>
      <c r="C152" s="43"/>
      <c r="G152" s="71"/>
      <c r="H152" s="71"/>
      <c r="L152" s="71"/>
      <c r="M152" s="71"/>
    </row>
    <row r="153">
      <c r="B153" s="97"/>
      <c r="C153" s="43"/>
      <c r="G153" s="71"/>
      <c r="H153" s="71"/>
      <c r="L153" s="71"/>
      <c r="M153" s="71"/>
    </row>
    <row r="154">
      <c r="B154" s="97"/>
      <c r="C154" s="43"/>
      <c r="G154" s="71"/>
      <c r="H154" s="71"/>
      <c r="L154" s="71"/>
      <c r="M154" s="71"/>
    </row>
    <row r="155">
      <c r="B155" s="97"/>
      <c r="C155" s="43"/>
      <c r="G155" s="71"/>
      <c r="H155" s="71"/>
      <c r="L155" s="71"/>
      <c r="M155" s="71"/>
    </row>
    <row r="156">
      <c r="B156" s="97"/>
      <c r="C156" s="43"/>
      <c r="G156" s="71"/>
      <c r="H156" s="71"/>
      <c r="L156" s="71"/>
      <c r="M156" s="71"/>
    </row>
    <row r="157">
      <c r="B157" s="97"/>
      <c r="C157" s="43"/>
      <c r="G157" s="71"/>
      <c r="H157" s="71"/>
      <c r="L157" s="71"/>
      <c r="M157" s="71"/>
    </row>
    <row r="158">
      <c r="B158" s="97"/>
      <c r="C158" s="43"/>
      <c r="G158" s="71"/>
      <c r="H158" s="71"/>
      <c r="L158" s="71"/>
      <c r="M158" s="71"/>
    </row>
    <row r="159">
      <c r="B159" s="97"/>
      <c r="C159" s="43"/>
      <c r="G159" s="71"/>
      <c r="H159" s="71"/>
      <c r="L159" s="71"/>
      <c r="M159" s="71"/>
    </row>
    <row r="160">
      <c r="B160" s="97"/>
      <c r="C160" s="43"/>
      <c r="G160" s="71"/>
      <c r="H160" s="71"/>
      <c r="L160" s="71"/>
      <c r="M160" s="71"/>
    </row>
    <row r="161">
      <c r="B161" s="97"/>
      <c r="C161" s="43"/>
      <c r="G161" s="71"/>
      <c r="H161" s="71"/>
      <c r="L161" s="71"/>
      <c r="M161" s="71"/>
    </row>
    <row r="162">
      <c r="B162" s="97"/>
      <c r="C162" s="43"/>
      <c r="G162" s="71"/>
      <c r="H162" s="71"/>
      <c r="L162" s="71"/>
      <c r="M162" s="71"/>
    </row>
    <row r="163">
      <c r="B163" s="97"/>
      <c r="C163" s="43"/>
      <c r="G163" s="71"/>
      <c r="H163" s="71"/>
      <c r="L163" s="71"/>
      <c r="M163" s="71"/>
    </row>
    <row r="164">
      <c r="B164" s="97"/>
      <c r="C164" s="43"/>
      <c r="G164" s="71"/>
      <c r="H164" s="71"/>
      <c r="L164" s="71"/>
      <c r="M164" s="71"/>
    </row>
    <row r="165">
      <c r="B165" s="97"/>
      <c r="C165" s="43"/>
      <c r="G165" s="71"/>
      <c r="H165" s="71"/>
      <c r="L165" s="71"/>
      <c r="M165" s="71"/>
    </row>
    <row r="166">
      <c r="B166" s="97"/>
      <c r="C166" s="43"/>
      <c r="G166" s="71"/>
      <c r="H166" s="71"/>
      <c r="L166" s="71"/>
      <c r="M166" s="71"/>
    </row>
    <row r="167">
      <c r="B167" s="97"/>
      <c r="C167" s="43"/>
      <c r="G167" s="71"/>
      <c r="H167" s="71"/>
      <c r="L167" s="71"/>
      <c r="M167" s="71"/>
    </row>
    <row r="168">
      <c r="B168" s="97"/>
      <c r="C168" s="43"/>
      <c r="G168" s="71"/>
      <c r="H168" s="71"/>
      <c r="L168" s="71"/>
      <c r="M168" s="71"/>
    </row>
    <row r="169">
      <c r="B169" s="97"/>
      <c r="C169" s="43"/>
      <c r="G169" s="71"/>
      <c r="H169" s="71"/>
      <c r="L169" s="71"/>
      <c r="M169" s="71"/>
    </row>
    <row r="170">
      <c r="B170" s="97"/>
      <c r="C170" s="43"/>
      <c r="G170" s="71"/>
      <c r="H170" s="71"/>
      <c r="L170" s="71"/>
      <c r="M170" s="71"/>
    </row>
    <row r="171">
      <c r="B171" s="97"/>
      <c r="C171" s="43"/>
      <c r="G171" s="71"/>
      <c r="H171" s="71"/>
      <c r="L171" s="71"/>
      <c r="M171" s="71"/>
    </row>
    <row r="172">
      <c r="B172" s="97"/>
      <c r="C172" s="43"/>
      <c r="G172" s="71"/>
      <c r="H172" s="71"/>
      <c r="L172" s="71"/>
      <c r="M172" s="71"/>
    </row>
    <row r="173">
      <c r="B173" s="97"/>
      <c r="C173" s="43"/>
      <c r="G173" s="71"/>
      <c r="H173" s="71"/>
      <c r="L173" s="71"/>
      <c r="M173" s="71"/>
    </row>
    <row r="174">
      <c r="B174" s="97"/>
      <c r="C174" s="43"/>
      <c r="G174" s="71"/>
      <c r="H174" s="71"/>
      <c r="L174" s="71"/>
      <c r="M174" s="71"/>
    </row>
    <row r="175">
      <c r="B175" s="97"/>
      <c r="C175" s="43"/>
      <c r="G175" s="71"/>
      <c r="H175" s="71"/>
      <c r="L175" s="71"/>
      <c r="M175" s="71"/>
    </row>
    <row r="176">
      <c r="B176" s="97"/>
      <c r="C176" s="43"/>
      <c r="G176" s="71"/>
      <c r="H176" s="71"/>
      <c r="L176" s="71"/>
      <c r="M176" s="71"/>
    </row>
    <row r="177">
      <c r="B177" s="97"/>
      <c r="C177" s="43"/>
      <c r="G177" s="71"/>
      <c r="H177" s="71"/>
      <c r="L177" s="71"/>
      <c r="M177" s="71"/>
    </row>
    <row r="178">
      <c r="B178" s="97"/>
      <c r="C178" s="43"/>
      <c r="G178" s="71"/>
      <c r="H178" s="71"/>
      <c r="L178" s="71"/>
      <c r="M178" s="71"/>
    </row>
    <row r="179">
      <c r="B179" s="97"/>
      <c r="C179" s="43"/>
      <c r="G179" s="71"/>
      <c r="H179" s="71"/>
      <c r="L179" s="71"/>
      <c r="M179" s="71"/>
    </row>
    <row r="180">
      <c r="B180" s="97"/>
      <c r="C180" s="43"/>
      <c r="G180" s="71"/>
      <c r="H180" s="71"/>
      <c r="L180" s="71"/>
      <c r="M180" s="71"/>
    </row>
    <row r="181">
      <c r="B181" s="97"/>
      <c r="C181" s="43"/>
      <c r="G181" s="71"/>
      <c r="H181" s="71"/>
      <c r="L181" s="71"/>
      <c r="M181" s="71"/>
    </row>
    <row r="182">
      <c r="B182" s="97"/>
      <c r="C182" s="43"/>
      <c r="G182" s="71"/>
      <c r="H182" s="71"/>
      <c r="L182" s="71"/>
      <c r="M182" s="71"/>
    </row>
    <row r="183">
      <c r="B183" s="97"/>
      <c r="C183" s="43"/>
      <c r="G183" s="71"/>
      <c r="H183" s="71"/>
      <c r="L183" s="71"/>
      <c r="M183" s="71"/>
    </row>
    <row r="184">
      <c r="B184" s="97"/>
      <c r="C184" s="43"/>
      <c r="G184" s="71"/>
      <c r="H184" s="71"/>
      <c r="L184" s="71"/>
      <c r="M184" s="71"/>
    </row>
    <row r="185">
      <c r="B185" s="97"/>
      <c r="C185" s="43"/>
      <c r="G185" s="71"/>
      <c r="H185" s="71"/>
      <c r="L185" s="71"/>
      <c r="M185" s="71"/>
    </row>
    <row r="186">
      <c r="B186" s="97"/>
      <c r="C186" s="43"/>
      <c r="G186" s="71"/>
      <c r="H186" s="71"/>
      <c r="L186" s="71"/>
      <c r="M186" s="71"/>
    </row>
    <row r="187">
      <c r="B187" s="97"/>
      <c r="C187" s="43"/>
      <c r="G187" s="71"/>
      <c r="H187" s="71"/>
      <c r="L187" s="71"/>
      <c r="M187" s="71"/>
    </row>
    <row r="188">
      <c r="B188" s="97"/>
      <c r="C188" s="43"/>
      <c r="G188" s="71"/>
      <c r="H188" s="71"/>
      <c r="L188" s="71"/>
      <c r="M188" s="71"/>
    </row>
    <row r="189">
      <c r="B189" s="97"/>
      <c r="C189" s="43"/>
      <c r="G189" s="71"/>
      <c r="H189" s="71"/>
      <c r="L189" s="71"/>
      <c r="M189" s="71"/>
    </row>
    <row r="190">
      <c r="B190" s="97"/>
      <c r="C190" s="43"/>
      <c r="G190" s="71"/>
      <c r="H190" s="71"/>
      <c r="L190" s="71"/>
      <c r="M190" s="71"/>
    </row>
    <row r="191">
      <c r="B191" s="97"/>
      <c r="C191" s="43"/>
      <c r="G191" s="71"/>
      <c r="H191" s="71"/>
      <c r="L191" s="71"/>
      <c r="M191" s="71"/>
    </row>
    <row r="192">
      <c r="B192" s="97"/>
      <c r="C192" s="43"/>
      <c r="G192" s="71"/>
      <c r="H192" s="71"/>
      <c r="L192" s="71"/>
      <c r="M192" s="71"/>
    </row>
    <row r="193">
      <c r="B193" s="97"/>
      <c r="C193" s="43"/>
      <c r="G193" s="71"/>
      <c r="H193" s="71"/>
      <c r="L193" s="71"/>
      <c r="M193" s="71"/>
    </row>
    <row r="194">
      <c r="B194" s="97"/>
      <c r="C194" s="43"/>
      <c r="G194" s="71"/>
      <c r="H194" s="71"/>
      <c r="L194" s="71"/>
      <c r="M194" s="71"/>
    </row>
    <row r="195">
      <c r="B195" s="97"/>
      <c r="C195" s="43"/>
      <c r="G195" s="71"/>
      <c r="H195" s="71"/>
      <c r="L195" s="71"/>
      <c r="M195" s="71"/>
    </row>
    <row r="196">
      <c r="B196" s="97"/>
      <c r="C196" s="43"/>
      <c r="G196" s="71"/>
      <c r="H196" s="71"/>
      <c r="L196" s="71"/>
      <c r="M196" s="71"/>
    </row>
    <row r="197">
      <c r="B197" s="97"/>
      <c r="C197" s="43"/>
      <c r="G197" s="71"/>
      <c r="H197" s="71"/>
      <c r="L197" s="71"/>
      <c r="M197" s="71"/>
    </row>
    <row r="198">
      <c r="B198" s="97"/>
      <c r="C198" s="43"/>
      <c r="G198" s="71"/>
      <c r="H198" s="71"/>
      <c r="L198" s="71"/>
      <c r="M198" s="71"/>
    </row>
    <row r="199">
      <c r="B199" s="97"/>
      <c r="C199" s="43"/>
      <c r="G199" s="71"/>
      <c r="H199" s="71"/>
      <c r="L199" s="71"/>
      <c r="M199" s="71"/>
    </row>
    <row r="200">
      <c r="B200" s="97"/>
      <c r="C200" s="43"/>
      <c r="G200" s="71"/>
      <c r="H200" s="71"/>
      <c r="L200" s="71"/>
      <c r="M200" s="71"/>
    </row>
    <row r="201">
      <c r="B201" s="97"/>
      <c r="C201" s="43"/>
      <c r="G201" s="71"/>
      <c r="H201" s="71"/>
      <c r="L201" s="71"/>
      <c r="M201" s="71"/>
    </row>
    <row r="202">
      <c r="B202" s="97"/>
      <c r="C202" s="43"/>
      <c r="G202" s="71"/>
      <c r="H202" s="71"/>
      <c r="L202" s="71"/>
      <c r="M202" s="71"/>
    </row>
    <row r="203">
      <c r="B203" s="97"/>
      <c r="C203" s="43"/>
      <c r="G203" s="71"/>
      <c r="H203" s="71"/>
      <c r="L203" s="71"/>
      <c r="M203" s="71"/>
    </row>
    <row r="204">
      <c r="B204" s="97"/>
      <c r="C204" s="43"/>
      <c r="G204" s="71"/>
      <c r="H204" s="71"/>
      <c r="L204" s="71"/>
      <c r="M204" s="71"/>
    </row>
    <row r="205">
      <c r="B205" s="97"/>
      <c r="C205" s="43"/>
      <c r="G205" s="71"/>
      <c r="H205" s="71"/>
      <c r="L205" s="71"/>
      <c r="M205" s="71"/>
    </row>
    <row r="206">
      <c r="B206" s="97"/>
      <c r="C206" s="43"/>
      <c r="G206" s="71"/>
      <c r="H206" s="71"/>
      <c r="L206" s="71"/>
      <c r="M206" s="71"/>
    </row>
    <row r="207">
      <c r="B207" s="97"/>
      <c r="C207" s="43"/>
      <c r="G207" s="71"/>
      <c r="H207" s="71"/>
      <c r="L207" s="71"/>
      <c r="M207" s="71"/>
    </row>
    <row r="208">
      <c r="B208" s="97"/>
      <c r="C208" s="43"/>
      <c r="G208" s="71"/>
      <c r="H208" s="71"/>
      <c r="L208" s="71"/>
      <c r="M208" s="71"/>
    </row>
    <row r="209">
      <c r="B209" s="97"/>
      <c r="C209" s="43"/>
      <c r="G209" s="71"/>
      <c r="H209" s="71"/>
      <c r="L209" s="71"/>
      <c r="M209" s="71"/>
    </row>
    <row r="210">
      <c r="B210" s="97"/>
      <c r="C210" s="43"/>
      <c r="G210" s="71"/>
      <c r="H210" s="71"/>
      <c r="L210" s="71"/>
      <c r="M210" s="71"/>
    </row>
    <row r="211">
      <c r="B211" s="97"/>
      <c r="C211" s="43"/>
      <c r="G211" s="71"/>
      <c r="H211" s="71"/>
      <c r="L211" s="71"/>
      <c r="M211" s="71"/>
    </row>
    <row r="212">
      <c r="B212" s="97"/>
      <c r="C212" s="43"/>
      <c r="G212" s="71"/>
      <c r="H212" s="71"/>
      <c r="L212" s="71"/>
      <c r="M212" s="71"/>
    </row>
    <row r="213">
      <c r="B213" s="97"/>
      <c r="C213" s="43"/>
      <c r="G213" s="71"/>
      <c r="H213" s="71"/>
      <c r="L213" s="71"/>
      <c r="M213" s="71"/>
    </row>
    <row r="214">
      <c r="B214" s="97"/>
      <c r="C214" s="43"/>
      <c r="G214" s="71"/>
      <c r="H214" s="71"/>
      <c r="L214" s="71"/>
      <c r="M214" s="71"/>
    </row>
    <row r="215">
      <c r="B215" s="97"/>
      <c r="C215" s="43"/>
      <c r="G215" s="71"/>
      <c r="H215" s="71"/>
      <c r="L215" s="71"/>
      <c r="M215" s="71"/>
    </row>
    <row r="216">
      <c r="B216" s="97"/>
      <c r="C216" s="43"/>
      <c r="G216" s="71"/>
      <c r="H216" s="71"/>
      <c r="L216" s="71"/>
      <c r="M216" s="71"/>
    </row>
    <row r="217">
      <c r="B217" s="97"/>
      <c r="C217" s="43"/>
      <c r="G217" s="71"/>
      <c r="H217" s="71"/>
      <c r="L217" s="71"/>
      <c r="M217" s="71"/>
    </row>
    <row r="218">
      <c r="B218" s="97"/>
      <c r="C218" s="43"/>
      <c r="G218" s="71"/>
      <c r="H218" s="71"/>
      <c r="L218" s="71"/>
      <c r="M218" s="71"/>
    </row>
    <row r="219">
      <c r="B219" s="97"/>
      <c r="C219" s="43"/>
      <c r="G219" s="71"/>
      <c r="H219" s="71"/>
      <c r="L219" s="71"/>
      <c r="M219" s="71"/>
    </row>
    <row r="220">
      <c r="B220" s="97"/>
      <c r="C220" s="43"/>
      <c r="G220" s="71"/>
      <c r="H220" s="71"/>
      <c r="L220" s="71"/>
      <c r="M220" s="71"/>
    </row>
    <row r="221">
      <c r="B221" s="97"/>
      <c r="C221" s="43"/>
      <c r="G221" s="71"/>
      <c r="H221" s="71"/>
      <c r="L221" s="71"/>
      <c r="M221" s="71"/>
    </row>
    <row r="222">
      <c r="B222" s="97"/>
      <c r="C222" s="43"/>
      <c r="G222" s="71"/>
      <c r="H222" s="71"/>
      <c r="L222" s="71"/>
      <c r="M222" s="71"/>
    </row>
    <row r="223">
      <c r="B223" s="97"/>
      <c r="C223" s="43"/>
      <c r="G223" s="71"/>
      <c r="H223" s="71"/>
      <c r="L223" s="71"/>
      <c r="M223" s="71"/>
    </row>
    <row r="224">
      <c r="B224" s="97"/>
      <c r="C224" s="43"/>
      <c r="G224" s="71"/>
      <c r="H224" s="71"/>
      <c r="L224" s="71"/>
      <c r="M224" s="71"/>
    </row>
    <row r="225">
      <c r="B225" s="97"/>
      <c r="C225" s="43"/>
      <c r="G225" s="71"/>
      <c r="H225" s="71"/>
      <c r="L225" s="71"/>
      <c r="M225" s="71"/>
    </row>
    <row r="226">
      <c r="B226" s="97"/>
      <c r="C226" s="43"/>
      <c r="G226" s="71"/>
      <c r="H226" s="71"/>
      <c r="L226" s="71"/>
      <c r="M226" s="71"/>
    </row>
    <row r="227">
      <c r="B227" s="97"/>
      <c r="C227" s="43"/>
      <c r="G227" s="71"/>
      <c r="H227" s="71"/>
      <c r="L227" s="71"/>
      <c r="M227" s="71"/>
    </row>
    <row r="228">
      <c r="B228" s="97"/>
      <c r="C228" s="43"/>
      <c r="G228" s="71"/>
      <c r="H228" s="71"/>
      <c r="L228" s="71"/>
      <c r="M228" s="71"/>
    </row>
    <row r="229">
      <c r="B229" s="97"/>
      <c r="C229" s="43"/>
      <c r="G229" s="71"/>
      <c r="H229" s="71"/>
      <c r="L229" s="71"/>
      <c r="M229" s="71"/>
    </row>
    <row r="230">
      <c r="B230" s="97"/>
      <c r="C230" s="43"/>
      <c r="G230" s="71"/>
      <c r="H230" s="71"/>
      <c r="L230" s="71"/>
      <c r="M230" s="71"/>
    </row>
    <row r="231">
      <c r="B231" s="97"/>
      <c r="C231" s="43"/>
      <c r="G231" s="71"/>
      <c r="H231" s="71"/>
      <c r="L231" s="71"/>
      <c r="M231" s="71"/>
    </row>
    <row r="232">
      <c r="B232" s="97"/>
      <c r="C232" s="43"/>
      <c r="G232" s="71"/>
      <c r="H232" s="71"/>
      <c r="L232" s="71"/>
      <c r="M232" s="71"/>
    </row>
    <row r="233">
      <c r="B233" s="97"/>
      <c r="C233" s="43"/>
      <c r="G233" s="71"/>
      <c r="H233" s="71"/>
      <c r="L233" s="71"/>
      <c r="M233" s="71"/>
    </row>
    <row r="234">
      <c r="B234" s="97"/>
      <c r="C234" s="43"/>
      <c r="G234" s="71"/>
      <c r="H234" s="71"/>
      <c r="L234" s="71"/>
      <c r="M234" s="71"/>
    </row>
    <row r="235">
      <c r="B235" s="97"/>
      <c r="C235" s="43"/>
      <c r="G235" s="71"/>
      <c r="H235" s="71"/>
      <c r="L235" s="71"/>
      <c r="M235" s="71"/>
    </row>
    <row r="236">
      <c r="B236" s="97"/>
      <c r="C236" s="43"/>
      <c r="G236" s="71"/>
      <c r="H236" s="71"/>
      <c r="L236" s="71"/>
      <c r="M236" s="71"/>
    </row>
    <row r="237">
      <c r="B237" s="97"/>
      <c r="C237" s="43"/>
      <c r="G237" s="71"/>
      <c r="H237" s="71"/>
      <c r="L237" s="71"/>
      <c r="M237" s="71"/>
    </row>
    <row r="238">
      <c r="B238" s="97"/>
      <c r="C238" s="43"/>
      <c r="G238" s="71"/>
      <c r="H238" s="71"/>
      <c r="L238" s="71"/>
      <c r="M238" s="71"/>
    </row>
    <row r="239">
      <c r="B239" s="97"/>
      <c r="C239" s="43"/>
      <c r="G239" s="71"/>
      <c r="H239" s="71"/>
      <c r="L239" s="71"/>
      <c r="M239" s="71"/>
    </row>
    <row r="240">
      <c r="B240" s="97"/>
      <c r="C240" s="43"/>
      <c r="G240" s="71"/>
      <c r="H240" s="71"/>
      <c r="L240" s="71"/>
      <c r="M240" s="71"/>
    </row>
    <row r="241">
      <c r="B241" s="97"/>
      <c r="C241" s="43"/>
      <c r="G241" s="71"/>
      <c r="H241" s="71"/>
      <c r="L241" s="71"/>
      <c r="M241" s="71"/>
    </row>
    <row r="242">
      <c r="B242" s="97"/>
      <c r="C242" s="43"/>
      <c r="G242" s="71"/>
      <c r="H242" s="71"/>
      <c r="L242" s="71"/>
      <c r="M242" s="71"/>
    </row>
    <row r="243">
      <c r="B243" s="97"/>
      <c r="C243" s="43"/>
      <c r="G243" s="71"/>
      <c r="H243" s="71"/>
      <c r="L243" s="71"/>
      <c r="M243" s="71"/>
    </row>
    <row r="244">
      <c r="B244" s="97"/>
      <c r="C244" s="43"/>
      <c r="G244" s="71"/>
      <c r="H244" s="71"/>
      <c r="L244" s="71"/>
      <c r="M244" s="71"/>
    </row>
    <row r="245">
      <c r="B245" s="97"/>
      <c r="C245" s="43"/>
      <c r="G245" s="71"/>
      <c r="H245" s="71"/>
      <c r="L245" s="71"/>
      <c r="M245" s="71"/>
    </row>
    <row r="246">
      <c r="B246" s="97"/>
      <c r="C246" s="43"/>
      <c r="G246" s="71"/>
      <c r="H246" s="71"/>
      <c r="L246" s="71"/>
      <c r="M246" s="71"/>
    </row>
    <row r="247">
      <c r="B247" s="97"/>
      <c r="C247" s="43"/>
      <c r="G247" s="71"/>
      <c r="H247" s="71"/>
      <c r="L247" s="71"/>
      <c r="M247" s="71"/>
    </row>
    <row r="248">
      <c r="B248" s="97"/>
      <c r="C248" s="43"/>
      <c r="G248" s="71"/>
      <c r="H248" s="71"/>
      <c r="L248" s="71"/>
      <c r="M248" s="71"/>
    </row>
    <row r="249">
      <c r="B249" s="97"/>
      <c r="C249" s="43"/>
      <c r="G249" s="71"/>
      <c r="H249" s="71"/>
      <c r="L249" s="71"/>
      <c r="M249" s="71"/>
    </row>
    <row r="250">
      <c r="B250" s="97"/>
      <c r="C250" s="43"/>
      <c r="G250" s="71"/>
      <c r="H250" s="71"/>
      <c r="L250" s="71"/>
      <c r="M250" s="71"/>
    </row>
    <row r="251">
      <c r="B251" s="97"/>
      <c r="C251" s="43"/>
      <c r="G251" s="71"/>
      <c r="H251" s="71"/>
      <c r="L251" s="71"/>
      <c r="M251" s="71"/>
    </row>
    <row r="252">
      <c r="B252" s="97"/>
      <c r="C252" s="43"/>
      <c r="G252" s="71"/>
      <c r="H252" s="71"/>
      <c r="L252" s="71"/>
      <c r="M252" s="71"/>
    </row>
    <row r="253">
      <c r="B253" s="97"/>
      <c r="C253" s="43"/>
      <c r="G253" s="71"/>
      <c r="H253" s="71"/>
      <c r="L253" s="71"/>
      <c r="M253" s="71"/>
    </row>
    <row r="254">
      <c r="B254" s="97"/>
      <c r="C254" s="43"/>
      <c r="G254" s="71"/>
      <c r="H254" s="71"/>
      <c r="L254" s="71"/>
      <c r="M254" s="71"/>
    </row>
    <row r="255">
      <c r="B255" s="97"/>
      <c r="C255" s="43"/>
      <c r="G255" s="71"/>
      <c r="H255" s="71"/>
      <c r="L255" s="71"/>
      <c r="M255" s="71"/>
    </row>
    <row r="256">
      <c r="B256" s="97"/>
      <c r="C256" s="43"/>
      <c r="G256" s="71"/>
      <c r="H256" s="71"/>
      <c r="L256" s="71"/>
      <c r="M256" s="71"/>
    </row>
    <row r="257">
      <c r="B257" s="97"/>
      <c r="C257" s="43"/>
      <c r="G257" s="71"/>
      <c r="H257" s="71"/>
      <c r="L257" s="71"/>
      <c r="M257" s="71"/>
    </row>
    <row r="258">
      <c r="B258" s="97"/>
      <c r="C258" s="43"/>
      <c r="G258" s="71"/>
      <c r="H258" s="71"/>
      <c r="L258" s="71"/>
      <c r="M258" s="71"/>
    </row>
    <row r="259">
      <c r="B259" s="97"/>
      <c r="C259" s="43"/>
      <c r="G259" s="71"/>
      <c r="H259" s="71"/>
      <c r="L259" s="71"/>
      <c r="M259" s="71"/>
    </row>
    <row r="260">
      <c r="B260" s="97"/>
      <c r="C260" s="43"/>
      <c r="G260" s="71"/>
      <c r="H260" s="71"/>
      <c r="L260" s="71"/>
      <c r="M260" s="71"/>
    </row>
    <row r="261">
      <c r="B261" s="97"/>
      <c r="C261" s="43"/>
      <c r="G261" s="71"/>
      <c r="H261" s="71"/>
      <c r="L261" s="71"/>
      <c r="M261" s="71"/>
    </row>
    <row r="262">
      <c r="B262" s="97"/>
      <c r="C262" s="43"/>
      <c r="G262" s="71"/>
      <c r="H262" s="71"/>
      <c r="L262" s="71"/>
      <c r="M262" s="71"/>
    </row>
    <row r="263">
      <c r="B263" s="97"/>
      <c r="C263" s="43"/>
      <c r="G263" s="71"/>
      <c r="H263" s="71"/>
      <c r="L263" s="71"/>
      <c r="M263" s="71"/>
    </row>
    <row r="264">
      <c r="B264" s="97"/>
      <c r="C264" s="43"/>
      <c r="G264" s="71"/>
      <c r="H264" s="71"/>
      <c r="L264" s="71"/>
      <c r="M264" s="71"/>
    </row>
    <row r="265">
      <c r="B265" s="97"/>
      <c r="C265" s="43"/>
      <c r="G265" s="71"/>
      <c r="H265" s="71"/>
      <c r="L265" s="71"/>
      <c r="M265" s="71"/>
    </row>
    <row r="266">
      <c r="B266" s="97"/>
      <c r="C266" s="43"/>
      <c r="G266" s="71"/>
      <c r="H266" s="71"/>
      <c r="L266" s="71"/>
      <c r="M266" s="71"/>
    </row>
    <row r="267">
      <c r="B267" s="97"/>
      <c r="C267" s="43"/>
      <c r="G267" s="71"/>
      <c r="H267" s="71"/>
      <c r="L267" s="71"/>
      <c r="M267" s="71"/>
    </row>
    <row r="268">
      <c r="B268" s="97"/>
      <c r="C268" s="43"/>
      <c r="G268" s="71"/>
      <c r="H268" s="71"/>
      <c r="L268" s="71"/>
      <c r="M268" s="71"/>
    </row>
    <row r="269">
      <c r="B269" s="97"/>
      <c r="C269" s="43"/>
      <c r="G269" s="71"/>
      <c r="H269" s="71"/>
      <c r="L269" s="71"/>
      <c r="M269" s="71"/>
    </row>
    <row r="270">
      <c r="B270" s="97"/>
      <c r="C270" s="43"/>
      <c r="G270" s="71"/>
      <c r="H270" s="71"/>
      <c r="L270" s="71"/>
      <c r="M270" s="71"/>
    </row>
    <row r="271">
      <c r="B271" s="97"/>
      <c r="C271" s="43"/>
      <c r="G271" s="71"/>
      <c r="H271" s="71"/>
      <c r="L271" s="71"/>
      <c r="M271" s="71"/>
    </row>
    <row r="272">
      <c r="B272" s="97"/>
      <c r="C272" s="43"/>
      <c r="G272" s="71"/>
      <c r="H272" s="71"/>
      <c r="L272" s="71"/>
      <c r="M272" s="71"/>
    </row>
    <row r="273">
      <c r="B273" s="97"/>
      <c r="C273" s="43"/>
      <c r="G273" s="71"/>
      <c r="H273" s="71"/>
      <c r="L273" s="71"/>
      <c r="M273" s="71"/>
    </row>
    <row r="274">
      <c r="B274" s="97"/>
      <c r="C274" s="43"/>
      <c r="G274" s="71"/>
      <c r="H274" s="71"/>
      <c r="L274" s="71"/>
      <c r="M274" s="71"/>
    </row>
    <row r="275">
      <c r="B275" s="97"/>
      <c r="C275" s="43"/>
      <c r="G275" s="71"/>
      <c r="H275" s="71"/>
      <c r="L275" s="71"/>
      <c r="M275" s="71"/>
    </row>
    <row r="276">
      <c r="B276" s="97"/>
      <c r="C276" s="43"/>
      <c r="G276" s="71"/>
      <c r="H276" s="71"/>
      <c r="L276" s="71"/>
      <c r="M276" s="71"/>
    </row>
    <row r="277">
      <c r="B277" s="97"/>
      <c r="C277" s="43"/>
      <c r="G277" s="71"/>
      <c r="H277" s="71"/>
      <c r="L277" s="71"/>
      <c r="M277" s="71"/>
    </row>
    <row r="278">
      <c r="B278" s="97"/>
      <c r="C278" s="43"/>
      <c r="G278" s="71"/>
      <c r="H278" s="71"/>
      <c r="L278" s="71"/>
      <c r="M278" s="71"/>
    </row>
    <row r="279">
      <c r="B279" s="97"/>
      <c r="C279" s="43"/>
      <c r="G279" s="71"/>
      <c r="H279" s="71"/>
      <c r="L279" s="71"/>
      <c r="M279" s="71"/>
    </row>
    <row r="280">
      <c r="B280" s="97"/>
      <c r="C280" s="43"/>
      <c r="G280" s="71"/>
      <c r="H280" s="71"/>
      <c r="L280" s="71"/>
      <c r="M280" s="71"/>
    </row>
    <row r="281">
      <c r="B281" s="97"/>
      <c r="C281" s="43"/>
      <c r="G281" s="71"/>
      <c r="H281" s="71"/>
      <c r="L281" s="71"/>
      <c r="M281" s="71"/>
    </row>
    <row r="282">
      <c r="B282" s="97"/>
      <c r="C282" s="43"/>
      <c r="G282" s="71"/>
      <c r="H282" s="71"/>
      <c r="L282" s="71"/>
      <c r="M282" s="71"/>
    </row>
    <row r="283">
      <c r="B283" s="97"/>
      <c r="C283" s="43"/>
      <c r="G283" s="71"/>
      <c r="H283" s="71"/>
      <c r="L283" s="71"/>
      <c r="M283" s="71"/>
    </row>
    <row r="284">
      <c r="B284" s="97"/>
      <c r="C284" s="43"/>
      <c r="G284" s="71"/>
      <c r="H284" s="71"/>
      <c r="L284" s="71"/>
      <c r="M284" s="71"/>
    </row>
    <row r="285">
      <c r="B285" s="97"/>
      <c r="C285" s="43"/>
      <c r="G285" s="71"/>
      <c r="H285" s="71"/>
      <c r="L285" s="71"/>
      <c r="M285" s="71"/>
    </row>
    <row r="286">
      <c r="B286" s="97"/>
      <c r="C286" s="43"/>
      <c r="G286" s="71"/>
      <c r="H286" s="71"/>
      <c r="L286" s="71"/>
      <c r="M286" s="71"/>
    </row>
    <row r="287">
      <c r="B287" s="97"/>
      <c r="C287" s="43"/>
      <c r="G287" s="71"/>
      <c r="H287" s="71"/>
      <c r="L287" s="71"/>
      <c r="M287" s="71"/>
    </row>
    <row r="288">
      <c r="B288" s="97"/>
      <c r="C288" s="43"/>
      <c r="G288" s="71"/>
      <c r="H288" s="71"/>
      <c r="L288" s="71"/>
      <c r="M288" s="71"/>
    </row>
    <row r="289">
      <c r="B289" s="97"/>
      <c r="C289" s="43"/>
      <c r="G289" s="71"/>
      <c r="H289" s="71"/>
      <c r="L289" s="71"/>
      <c r="M289" s="71"/>
    </row>
    <row r="290">
      <c r="B290" s="97"/>
      <c r="C290" s="43"/>
      <c r="G290" s="71"/>
      <c r="H290" s="71"/>
      <c r="L290" s="71"/>
      <c r="M290" s="71"/>
    </row>
    <row r="291">
      <c r="B291" s="97"/>
      <c r="C291" s="43"/>
      <c r="G291" s="71"/>
      <c r="H291" s="71"/>
      <c r="L291" s="71"/>
      <c r="M291" s="71"/>
    </row>
    <row r="292">
      <c r="B292" s="97"/>
      <c r="C292" s="43"/>
      <c r="G292" s="71"/>
      <c r="H292" s="71"/>
      <c r="L292" s="71"/>
      <c r="M292" s="71"/>
    </row>
    <row r="293">
      <c r="B293" s="97"/>
      <c r="C293" s="43"/>
      <c r="G293" s="71"/>
      <c r="H293" s="71"/>
      <c r="L293" s="71"/>
      <c r="M293" s="71"/>
    </row>
    <row r="294">
      <c r="B294" s="97"/>
      <c r="C294" s="43"/>
      <c r="G294" s="71"/>
      <c r="H294" s="71"/>
      <c r="L294" s="71"/>
      <c r="M294" s="71"/>
    </row>
    <row r="295">
      <c r="B295" s="97"/>
      <c r="C295" s="43"/>
      <c r="G295" s="71"/>
      <c r="H295" s="71"/>
      <c r="L295" s="71"/>
      <c r="M295" s="71"/>
    </row>
    <row r="296">
      <c r="B296" s="97"/>
      <c r="C296" s="43"/>
      <c r="G296" s="71"/>
      <c r="H296" s="71"/>
      <c r="L296" s="71"/>
      <c r="M296" s="71"/>
    </row>
    <row r="297">
      <c r="B297" s="97"/>
      <c r="C297" s="43"/>
      <c r="G297" s="71"/>
      <c r="H297" s="71"/>
      <c r="L297" s="71"/>
      <c r="M297" s="71"/>
    </row>
    <row r="298">
      <c r="B298" s="97"/>
      <c r="C298" s="43"/>
      <c r="G298" s="71"/>
      <c r="H298" s="71"/>
      <c r="L298" s="71"/>
      <c r="M298" s="71"/>
    </row>
    <row r="299">
      <c r="B299" s="97"/>
      <c r="C299" s="43"/>
      <c r="G299" s="71"/>
      <c r="H299" s="71"/>
      <c r="L299" s="71"/>
      <c r="M299" s="71"/>
    </row>
    <row r="300">
      <c r="B300" s="97"/>
      <c r="C300" s="43"/>
      <c r="G300" s="71"/>
      <c r="H300" s="71"/>
      <c r="L300" s="71"/>
      <c r="M300" s="71"/>
    </row>
    <row r="301">
      <c r="B301" s="97"/>
      <c r="C301" s="43"/>
      <c r="G301" s="71"/>
      <c r="H301" s="71"/>
      <c r="L301" s="71"/>
      <c r="M301" s="71"/>
    </row>
    <row r="302">
      <c r="B302" s="97"/>
      <c r="C302" s="43"/>
      <c r="G302" s="71"/>
      <c r="H302" s="71"/>
      <c r="L302" s="71"/>
      <c r="M302" s="71"/>
    </row>
    <row r="303">
      <c r="B303" s="97"/>
      <c r="C303" s="43"/>
      <c r="G303" s="71"/>
      <c r="H303" s="71"/>
      <c r="L303" s="71"/>
      <c r="M303" s="71"/>
    </row>
    <row r="304">
      <c r="B304" s="97"/>
      <c r="C304" s="43"/>
      <c r="G304" s="71"/>
      <c r="H304" s="71"/>
      <c r="L304" s="71"/>
      <c r="M304" s="71"/>
    </row>
    <row r="305">
      <c r="B305" s="97"/>
      <c r="C305" s="43"/>
      <c r="G305" s="71"/>
      <c r="H305" s="71"/>
      <c r="L305" s="71"/>
      <c r="M305" s="71"/>
    </row>
    <row r="306">
      <c r="B306" s="97"/>
      <c r="C306" s="43"/>
      <c r="G306" s="71"/>
      <c r="H306" s="71"/>
      <c r="L306" s="71"/>
      <c r="M306" s="71"/>
    </row>
    <row r="307">
      <c r="B307" s="97"/>
      <c r="C307" s="43"/>
      <c r="G307" s="71"/>
      <c r="H307" s="71"/>
      <c r="L307" s="71"/>
      <c r="M307" s="71"/>
    </row>
    <row r="308">
      <c r="B308" s="97"/>
      <c r="C308" s="43"/>
      <c r="G308" s="71"/>
      <c r="H308" s="71"/>
      <c r="L308" s="71"/>
      <c r="M308" s="71"/>
    </row>
    <row r="309">
      <c r="B309" s="97"/>
      <c r="C309" s="43"/>
      <c r="G309" s="71"/>
      <c r="H309" s="71"/>
      <c r="L309" s="71"/>
      <c r="M309" s="71"/>
    </row>
    <row r="310">
      <c r="B310" s="97"/>
      <c r="C310" s="43"/>
      <c r="G310" s="71"/>
      <c r="H310" s="71"/>
      <c r="L310" s="71"/>
      <c r="M310" s="71"/>
    </row>
    <row r="311">
      <c r="B311" s="97"/>
      <c r="C311" s="43"/>
      <c r="G311" s="71"/>
      <c r="H311" s="71"/>
      <c r="L311" s="71"/>
      <c r="M311" s="71"/>
    </row>
    <row r="312">
      <c r="B312" s="97"/>
      <c r="C312" s="43"/>
      <c r="G312" s="71"/>
      <c r="H312" s="71"/>
      <c r="L312" s="71"/>
      <c r="M312" s="71"/>
    </row>
    <row r="313">
      <c r="B313" s="97"/>
      <c r="C313" s="43"/>
      <c r="G313" s="71"/>
      <c r="H313" s="71"/>
      <c r="L313" s="71"/>
      <c r="M313" s="71"/>
    </row>
    <row r="314">
      <c r="B314" s="97"/>
      <c r="C314" s="43"/>
      <c r="G314" s="71"/>
      <c r="H314" s="71"/>
      <c r="L314" s="71"/>
      <c r="M314" s="71"/>
    </row>
    <row r="315">
      <c r="B315" s="97"/>
      <c r="C315" s="43"/>
      <c r="G315" s="71"/>
      <c r="H315" s="71"/>
      <c r="L315" s="71"/>
      <c r="M315" s="71"/>
    </row>
    <row r="316">
      <c r="B316" s="97"/>
      <c r="C316" s="43"/>
      <c r="G316" s="71"/>
      <c r="H316" s="71"/>
      <c r="L316" s="71"/>
      <c r="M316" s="71"/>
    </row>
    <row r="317">
      <c r="B317" s="97"/>
      <c r="C317" s="43"/>
      <c r="G317" s="71"/>
      <c r="H317" s="71"/>
      <c r="L317" s="71"/>
      <c r="M317" s="71"/>
    </row>
    <row r="318">
      <c r="B318" s="97"/>
      <c r="C318" s="43"/>
      <c r="G318" s="71"/>
      <c r="H318" s="71"/>
      <c r="L318" s="71"/>
      <c r="M318" s="71"/>
    </row>
    <row r="319">
      <c r="B319" s="97"/>
      <c r="C319" s="43"/>
      <c r="G319" s="71"/>
      <c r="H319" s="71"/>
      <c r="L319" s="71"/>
      <c r="M319" s="71"/>
    </row>
    <row r="320">
      <c r="B320" s="97"/>
      <c r="C320" s="43"/>
      <c r="G320" s="71"/>
      <c r="H320" s="71"/>
      <c r="L320" s="71"/>
      <c r="M320" s="71"/>
    </row>
    <row r="321">
      <c r="B321" s="97"/>
      <c r="C321" s="43"/>
      <c r="G321" s="71"/>
      <c r="H321" s="71"/>
      <c r="L321" s="71"/>
      <c r="M321" s="71"/>
    </row>
    <row r="322">
      <c r="B322" s="97"/>
      <c r="C322" s="43"/>
      <c r="G322" s="71"/>
      <c r="H322" s="71"/>
      <c r="L322" s="71"/>
      <c r="M322" s="71"/>
    </row>
    <row r="323">
      <c r="B323" s="97"/>
      <c r="C323" s="43"/>
      <c r="G323" s="71"/>
      <c r="H323" s="71"/>
      <c r="L323" s="71"/>
      <c r="M323" s="71"/>
    </row>
    <row r="324">
      <c r="B324" s="97"/>
      <c r="C324" s="43"/>
      <c r="G324" s="71"/>
      <c r="H324" s="71"/>
      <c r="L324" s="71"/>
      <c r="M324" s="71"/>
    </row>
    <row r="325">
      <c r="B325" s="97"/>
      <c r="C325" s="43"/>
      <c r="G325" s="71"/>
      <c r="H325" s="71"/>
      <c r="L325" s="71"/>
      <c r="M325" s="71"/>
    </row>
    <row r="326">
      <c r="B326" s="97"/>
      <c r="C326" s="43"/>
      <c r="G326" s="71"/>
      <c r="H326" s="71"/>
      <c r="L326" s="71"/>
      <c r="M326" s="71"/>
    </row>
    <row r="327">
      <c r="B327" s="97"/>
      <c r="C327" s="43"/>
      <c r="G327" s="71"/>
      <c r="H327" s="71"/>
      <c r="L327" s="71"/>
      <c r="M327" s="71"/>
    </row>
    <row r="328">
      <c r="B328" s="97"/>
      <c r="C328" s="43"/>
      <c r="G328" s="71"/>
      <c r="H328" s="71"/>
      <c r="L328" s="71"/>
      <c r="M328" s="71"/>
    </row>
    <row r="329">
      <c r="B329" s="97"/>
      <c r="C329" s="43"/>
      <c r="G329" s="71"/>
      <c r="H329" s="71"/>
      <c r="L329" s="71"/>
      <c r="M329" s="71"/>
    </row>
    <row r="330">
      <c r="B330" s="97"/>
      <c r="C330" s="43"/>
      <c r="G330" s="71"/>
      <c r="H330" s="71"/>
      <c r="L330" s="71"/>
      <c r="M330" s="71"/>
    </row>
    <row r="331">
      <c r="B331" s="97"/>
      <c r="C331" s="43"/>
      <c r="G331" s="71"/>
      <c r="H331" s="71"/>
      <c r="L331" s="71"/>
      <c r="M331" s="71"/>
    </row>
    <row r="332">
      <c r="B332" s="97"/>
      <c r="C332" s="43"/>
      <c r="G332" s="71"/>
      <c r="H332" s="71"/>
      <c r="L332" s="71"/>
      <c r="M332" s="71"/>
    </row>
    <row r="333">
      <c r="B333" s="97"/>
      <c r="C333" s="43"/>
      <c r="G333" s="71"/>
      <c r="H333" s="71"/>
      <c r="L333" s="71"/>
      <c r="M333" s="71"/>
    </row>
    <row r="334">
      <c r="B334" s="97"/>
      <c r="C334" s="43"/>
      <c r="G334" s="71"/>
      <c r="H334" s="71"/>
      <c r="L334" s="71"/>
      <c r="M334" s="71"/>
    </row>
    <row r="335">
      <c r="B335" s="97"/>
      <c r="C335" s="43"/>
      <c r="G335" s="71"/>
      <c r="H335" s="71"/>
      <c r="L335" s="71"/>
      <c r="M335" s="71"/>
    </row>
    <row r="336">
      <c r="B336" s="97"/>
      <c r="C336" s="43"/>
      <c r="G336" s="71"/>
      <c r="H336" s="71"/>
      <c r="L336" s="71"/>
      <c r="M336" s="71"/>
    </row>
    <row r="337">
      <c r="B337" s="97"/>
      <c r="C337" s="43"/>
      <c r="G337" s="71"/>
      <c r="H337" s="71"/>
      <c r="L337" s="71"/>
      <c r="M337" s="71"/>
    </row>
    <row r="338">
      <c r="B338" s="97"/>
      <c r="C338" s="43"/>
      <c r="G338" s="71"/>
      <c r="H338" s="71"/>
      <c r="L338" s="71"/>
      <c r="M338" s="71"/>
    </row>
    <row r="339">
      <c r="B339" s="97"/>
      <c r="C339" s="43"/>
      <c r="G339" s="71"/>
      <c r="H339" s="71"/>
      <c r="L339" s="71"/>
      <c r="M339" s="71"/>
    </row>
    <row r="340">
      <c r="B340" s="97"/>
      <c r="C340" s="43"/>
      <c r="G340" s="71"/>
      <c r="H340" s="71"/>
      <c r="L340" s="71"/>
      <c r="M340" s="71"/>
    </row>
    <row r="341">
      <c r="B341" s="97"/>
      <c r="C341" s="43"/>
      <c r="G341" s="71"/>
      <c r="H341" s="71"/>
      <c r="L341" s="71"/>
      <c r="M341" s="71"/>
    </row>
    <row r="342">
      <c r="B342" s="97"/>
      <c r="C342" s="43"/>
      <c r="G342" s="71"/>
      <c r="H342" s="71"/>
      <c r="L342" s="71"/>
      <c r="M342" s="71"/>
    </row>
    <row r="343">
      <c r="B343" s="97"/>
      <c r="C343" s="43"/>
      <c r="G343" s="71"/>
      <c r="H343" s="71"/>
      <c r="L343" s="71"/>
      <c r="M343" s="71"/>
    </row>
    <row r="344">
      <c r="B344" s="97"/>
      <c r="C344" s="43"/>
      <c r="G344" s="71"/>
      <c r="H344" s="71"/>
      <c r="L344" s="71"/>
      <c r="M344" s="71"/>
    </row>
    <row r="345">
      <c r="B345" s="97"/>
      <c r="C345" s="43"/>
      <c r="G345" s="71"/>
      <c r="H345" s="71"/>
      <c r="L345" s="71"/>
      <c r="M345" s="71"/>
    </row>
    <row r="346">
      <c r="B346" s="97"/>
      <c r="C346" s="43"/>
      <c r="G346" s="71"/>
      <c r="H346" s="71"/>
      <c r="L346" s="71"/>
      <c r="M346" s="71"/>
    </row>
    <row r="347">
      <c r="B347" s="97"/>
      <c r="C347" s="43"/>
      <c r="G347" s="71"/>
      <c r="H347" s="71"/>
      <c r="L347" s="71"/>
      <c r="M347" s="71"/>
    </row>
    <row r="348">
      <c r="B348" s="97"/>
      <c r="C348" s="43"/>
      <c r="G348" s="71"/>
      <c r="H348" s="71"/>
      <c r="L348" s="71"/>
      <c r="M348" s="71"/>
    </row>
    <row r="349">
      <c r="B349" s="97"/>
      <c r="C349" s="43"/>
      <c r="G349" s="71"/>
      <c r="H349" s="71"/>
      <c r="L349" s="71"/>
      <c r="M349" s="71"/>
    </row>
    <row r="350">
      <c r="B350" s="97"/>
      <c r="C350" s="43"/>
      <c r="G350" s="71"/>
      <c r="H350" s="71"/>
      <c r="L350" s="71"/>
      <c r="M350" s="71"/>
    </row>
    <row r="351">
      <c r="B351" s="97"/>
      <c r="C351" s="43"/>
      <c r="G351" s="71"/>
      <c r="H351" s="71"/>
      <c r="L351" s="71"/>
      <c r="M351" s="71"/>
    </row>
    <row r="352">
      <c r="B352" s="97"/>
      <c r="C352" s="43"/>
      <c r="G352" s="71"/>
      <c r="H352" s="71"/>
      <c r="L352" s="71"/>
      <c r="M352" s="71"/>
    </row>
    <row r="353">
      <c r="B353" s="97"/>
      <c r="C353" s="43"/>
      <c r="G353" s="71"/>
      <c r="H353" s="71"/>
      <c r="L353" s="71"/>
      <c r="M353" s="71"/>
    </row>
    <row r="354">
      <c r="B354" s="97"/>
      <c r="C354" s="43"/>
      <c r="G354" s="71"/>
      <c r="H354" s="71"/>
      <c r="L354" s="71"/>
      <c r="M354" s="71"/>
    </row>
    <row r="355">
      <c r="B355" s="97"/>
      <c r="C355" s="43"/>
      <c r="G355" s="71"/>
      <c r="H355" s="71"/>
      <c r="L355" s="71"/>
      <c r="M355" s="71"/>
    </row>
    <row r="356">
      <c r="B356" s="97"/>
      <c r="C356" s="43"/>
      <c r="G356" s="71"/>
      <c r="H356" s="71"/>
      <c r="L356" s="71"/>
      <c r="M356" s="71"/>
    </row>
    <row r="357">
      <c r="B357" s="97"/>
      <c r="C357" s="43"/>
      <c r="G357" s="71"/>
      <c r="H357" s="71"/>
      <c r="L357" s="71"/>
      <c r="M357" s="71"/>
    </row>
    <row r="358">
      <c r="B358" s="97"/>
      <c r="C358" s="43"/>
      <c r="G358" s="71"/>
      <c r="H358" s="71"/>
      <c r="L358" s="71"/>
      <c r="M358" s="71"/>
    </row>
    <row r="359">
      <c r="B359" s="97"/>
      <c r="C359" s="43"/>
      <c r="G359" s="71"/>
      <c r="H359" s="71"/>
      <c r="L359" s="71"/>
      <c r="M359" s="71"/>
    </row>
    <row r="360">
      <c r="B360" s="97"/>
      <c r="C360" s="43"/>
      <c r="G360" s="71"/>
      <c r="H360" s="71"/>
      <c r="L360" s="71"/>
      <c r="M360" s="71"/>
    </row>
    <row r="361">
      <c r="B361" s="97"/>
      <c r="C361" s="43"/>
      <c r="G361" s="71"/>
      <c r="H361" s="71"/>
      <c r="L361" s="71"/>
      <c r="M361" s="71"/>
    </row>
    <row r="362">
      <c r="B362" s="97"/>
      <c r="C362" s="43"/>
      <c r="G362" s="71"/>
      <c r="H362" s="71"/>
      <c r="L362" s="71"/>
      <c r="M362" s="71"/>
    </row>
    <row r="363">
      <c r="B363" s="97"/>
      <c r="C363" s="43"/>
      <c r="G363" s="71"/>
      <c r="H363" s="71"/>
      <c r="L363" s="71"/>
      <c r="M363" s="71"/>
    </row>
    <row r="364">
      <c r="B364" s="97"/>
      <c r="C364" s="43"/>
      <c r="G364" s="71"/>
      <c r="H364" s="71"/>
      <c r="L364" s="71"/>
      <c r="M364" s="71"/>
    </row>
    <row r="365">
      <c r="B365" s="97"/>
      <c r="C365" s="43"/>
      <c r="G365" s="71"/>
      <c r="H365" s="71"/>
      <c r="L365" s="71"/>
      <c r="M365" s="71"/>
    </row>
    <row r="366">
      <c r="B366" s="97"/>
      <c r="C366" s="43"/>
      <c r="G366" s="71"/>
      <c r="H366" s="71"/>
      <c r="L366" s="71"/>
      <c r="M366" s="71"/>
    </row>
    <row r="367">
      <c r="B367" s="97"/>
      <c r="C367" s="43"/>
      <c r="G367" s="71"/>
      <c r="H367" s="71"/>
      <c r="L367" s="71"/>
      <c r="M367" s="71"/>
    </row>
    <row r="368">
      <c r="B368" s="97"/>
      <c r="C368" s="43"/>
      <c r="G368" s="71"/>
      <c r="H368" s="71"/>
      <c r="L368" s="71"/>
      <c r="M368" s="71"/>
    </row>
    <row r="369">
      <c r="B369" s="97"/>
      <c r="C369" s="43"/>
      <c r="G369" s="71"/>
      <c r="H369" s="71"/>
      <c r="L369" s="71"/>
      <c r="M369" s="71"/>
    </row>
    <row r="370">
      <c r="B370" s="97"/>
      <c r="C370" s="43"/>
      <c r="G370" s="71"/>
      <c r="H370" s="71"/>
      <c r="L370" s="71"/>
      <c r="M370" s="71"/>
    </row>
    <row r="371">
      <c r="B371" s="97"/>
      <c r="C371" s="43"/>
      <c r="G371" s="71"/>
      <c r="H371" s="71"/>
      <c r="L371" s="71"/>
      <c r="M371" s="71"/>
    </row>
    <row r="372">
      <c r="B372" s="97"/>
      <c r="C372" s="43"/>
      <c r="G372" s="71"/>
      <c r="H372" s="71"/>
      <c r="L372" s="71"/>
      <c r="M372" s="71"/>
    </row>
    <row r="373">
      <c r="B373" s="97"/>
      <c r="C373" s="43"/>
      <c r="G373" s="71"/>
      <c r="H373" s="71"/>
      <c r="L373" s="71"/>
      <c r="M373" s="71"/>
    </row>
    <row r="374">
      <c r="B374" s="97"/>
      <c r="C374" s="43"/>
      <c r="G374" s="71"/>
      <c r="H374" s="71"/>
      <c r="L374" s="71"/>
      <c r="M374" s="71"/>
    </row>
    <row r="375">
      <c r="B375" s="97"/>
      <c r="C375" s="43"/>
      <c r="G375" s="71"/>
      <c r="H375" s="71"/>
      <c r="L375" s="71"/>
      <c r="M375" s="71"/>
    </row>
    <row r="376">
      <c r="B376" s="97"/>
      <c r="C376" s="43"/>
      <c r="G376" s="71"/>
      <c r="H376" s="71"/>
      <c r="L376" s="71"/>
      <c r="M376" s="71"/>
    </row>
    <row r="377">
      <c r="B377" s="97"/>
      <c r="C377" s="43"/>
      <c r="G377" s="71"/>
      <c r="H377" s="71"/>
      <c r="L377" s="71"/>
      <c r="M377" s="71"/>
    </row>
    <row r="378">
      <c r="B378" s="97"/>
      <c r="C378" s="43"/>
      <c r="G378" s="71"/>
      <c r="H378" s="71"/>
      <c r="L378" s="71"/>
      <c r="M378" s="71"/>
    </row>
    <row r="379">
      <c r="B379" s="97"/>
      <c r="C379" s="43"/>
      <c r="G379" s="71"/>
      <c r="H379" s="71"/>
      <c r="L379" s="71"/>
      <c r="M379" s="71"/>
    </row>
    <row r="380">
      <c r="B380" s="97"/>
      <c r="C380" s="43"/>
      <c r="G380" s="71"/>
      <c r="H380" s="71"/>
      <c r="L380" s="71"/>
      <c r="M380" s="71"/>
    </row>
    <row r="381">
      <c r="B381" s="97"/>
      <c r="C381" s="43"/>
      <c r="G381" s="71"/>
      <c r="H381" s="71"/>
      <c r="L381" s="71"/>
      <c r="M381" s="71"/>
    </row>
    <row r="382">
      <c r="B382" s="97"/>
      <c r="C382" s="43"/>
      <c r="G382" s="71"/>
      <c r="H382" s="71"/>
      <c r="L382" s="71"/>
      <c r="M382" s="71"/>
    </row>
    <row r="383">
      <c r="B383" s="97"/>
      <c r="C383" s="43"/>
      <c r="G383" s="71"/>
      <c r="H383" s="71"/>
      <c r="L383" s="71"/>
      <c r="M383" s="71"/>
    </row>
    <row r="384">
      <c r="B384" s="97"/>
      <c r="C384" s="43"/>
      <c r="G384" s="71"/>
      <c r="H384" s="71"/>
      <c r="L384" s="71"/>
      <c r="M384" s="71"/>
    </row>
    <row r="385">
      <c r="B385" s="97"/>
      <c r="C385" s="43"/>
      <c r="G385" s="71"/>
      <c r="H385" s="71"/>
      <c r="L385" s="71"/>
      <c r="M385" s="71"/>
    </row>
    <row r="386">
      <c r="B386" s="97"/>
      <c r="C386" s="43"/>
      <c r="G386" s="71"/>
      <c r="H386" s="71"/>
      <c r="L386" s="71"/>
      <c r="M386" s="71"/>
    </row>
    <row r="387">
      <c r="B387" s="97"/>
      <c r="C387" s="43"/>
      <c r="G387" s="71"/>
      <c r="H387" s="71"/>
      <c r="L387" s="71"/>
      <c r="M387" s="71"/>
    </row>
    <row r="388">
      <c r="B388" s="97"/>
      <c r="C388" s="43"/>
      <c r="G388" s="71"/>
      <c r="H388" s="71"/>
      <c r="L388" s="71"/>
      <c r="M388" s="71"/>
    </row>
    <row r="389">
      <c r="B389" s="97"/>
      <c r="C389" s="43"/>
      <c r="G389" s="71"/>
      <c r="H389" s="71"/>
      <c r="L389" s="71"/>
      <c r="M389" s="71"/>
    </row>
    <row r="390">
      <c r="B390" s="97"/>
      <c r="C390" s="43"/>
      <c r="G390" s="71"/>
      <c r="H390" s="71"/>
      <c r="L390" s="71"/>
      <c r="M390" s="71"/>
    </row>
    <row r="391">
      <c r="B391" s="97"/>
      <c r="C391" s="43"/>
      <c r="G391" s="71"/>
      <c r="H391" s="71"/>
      <c r="L391" s="71"/>
      <c r="M391" s="71"/>
    </row>
    <row r="392">
      <c r="B392" s="97"/>
      <c r="C392" s="43"/>
      <c r="G392" s="71"/>
      <c r="H392" s="71"/>
      <c r="L392" s="71"/>
      <c r="M392" s="71"/>
    </row>
    <row r="393">
      <c r="B393" s="97"/>
      <c r="C393" s="43"/>
      <c r="G393" s="71"/>
      <c r="H393" s="71"/>
      <c r="L393" s="71"/>
      <c r="M393" s="71"/>
    </row>
    <row r="394">
      <c r="B394" s="97"/>
      <c r="C394" s="43"/>
      <c r="G394" s="71"/>
      <c r="H394" s="71"/>
      <c r="L394" s="71"/>
      <c r="M394" s="71"/>
    </row>
    <row r="395">
      <c r="B395" s="97"/>
      <c r="C395" s="43"/>
      <c r="G395" s="71"/>
      <c r="H395" s="71"/>
      <c r="L395" s="71"/>
      <c r="M395" s="71"/>
    </row>
    <row r="396">
      <c r="B396" s="97"/>
      <c r="C396" s="43"/>
      <c r="G396" s="71"/>
      <c r="H396" s="71"/>
      <c r="L396" s="71"/>
      <c r="M396" s="71"/>
    </row>
    <row r="397">
      <c r="B397" s="97"/>
      <c r="C397" s="43"/>
      <c r="G397" s="71"/>
      <c r="H397" s="71"/>
      <c r="L397" s="71"/>
      <c r="M397" s="71"/>
    </row>
    <row r="398">
      <c r="B398" s="97"/>
      <c r="C398" s="43"/>
      <c r="G398" s="71"/>
      <c r="H398" s="71"/>
      <c r="L398" s="71"/>
      <c r="M398" s="71"/>
    </row>
    <row r="399">
      <c r="B399" s="97"/>
      <c r="C399" s="43"/>
      <c r="G399" s="71"/>
      <c r="H399" s="71"/>
      <c r="L399" s="71"/>
      <c r="M399" s="71"/>
    </row>
    <row r="400">
      <c r="B400" s="97"/>
      <c r="C400" s="43"/>
      <c r="G400" s="71"/>
      <c r="H400" s="71"/>
      <c r="L400" s="71"/>
      <c r="M400" s="71"/>
    </row>
    <row r="401">
      <c r="B401" s="97"/>
      <c r="C401" s="43"/>
      <c r="G401" s="71"/>
      <c r="H401" s="71"/>
      <c r="L401" s="71"/>
      <c r="M401" s="71"/>
    </row>
    <row r="402">
      <c r="B402" s="97"/>
      <c r="C402" s="43"/>
      <c r="G402" s="71"/>
      <c r="H402" s="71"/>
      <c r="L402" s="71"/>
      <c r="M402" s="71"/>
    </row>
    <row r="403">
      <c r="B403" s="97"/>
      <c r="C403" s="43"/>
      <c r="G403" s="71"/>
      <c r="H403" s="71"/>
      <c r="L403" s="71"/>
      <c r="M403" s="71"/>
    </row>
    <row r="404">
      <c r="B404" s="97"/>
      <c r="C404" s="43"/>
      <c r="G404" s="71"/>
      <c r="H404" s="71"/>
      <c r="L404" s="71"/>
      <c r="M404" s="71"/>
    </row>
    <row r="405">
      <c r="B405" s="97"/>
      <c r="C405" s="43"/>
      <c r="G405" s="71"/>
      <c r="H405" s="71"/>
      <c r="L405" s="71"/>
      <c r="M405" s="71"/>
    </row>
    <row r="406">
      <c r="B406" s="97"/>
      <c r="C406" s="43"/>
      <c r="G406" s="71"/>
      <c r="H406" s="71"/>
      <c r="L406" s="71"/>
      <c r="M406" s="71"/>
    </row>
    <row r="407">
      <c r="B407" s="97"/>
      <c r="C407" s="43"/>
      <c r="G407" s="71"/>
      <c r="H407" s="71"/>
      <c r="L407" s="71"/>
      <c r="M407" s="71"/>
    </row>
    <row r="408">
      <c r="B408" s="97"/>
      <c r="C408" s="43"/>
      <c r="G408" s="71"/>
      <c r="H408" s="71"/>
      <c r="L408" s="71"/>
      <c r="M408" s="71"/>
    </row>
    <row r="409">
      <c r="B409" s="97"/>
      <c r="C409" s="43"/>
      <c r="G409" s="71"/>
      <c r="H409" s="71"/>
      <c r="L409" s="71"/>
      <c r="M409" s="71"/>
    </row>
    <row r="410">
      <c r="B410" s="97"/>
      <c r="C410" s="43"/>
      <c r="G410" s="71"/>
      <c r="H410" s="71"/>
      <c r="L410" s="71"/>
      <c r="M410" s="71"/>
    </row>
    <row r="411">
      <c r="B411" s="97"/>
      <c r="C411" s="43"/>
      <c r="G411" s="71"/>
      <c r="H411" s="71"/>
      <c r="L411" s="71"/>
      <c r="M411" s="71"/>
    </row>
    <row r="412">
      <c r="B412" s="97"/>
      <c r="C412" s="43"/>
      <c r="G412" s="71"/>
      <c r="H412" s="71"/>
      <c r="L412" s="71"/>
      <c r="M412" s="71"/>
    </row>
    <row r="413">
      <c r="B413" s="97"/>
      <c r="C413" s="43"/>
      <c r="G413" s="71"/>
      <c r="H413" s="71"/>
      <c r="L413" s="71"/>
      <c r="M413" s="71"/>
    </row>
    <row r="414">
      <c r="B414" s="97"/>
      <c r="C414" s="43"/>
      <c r="G414" s="71"/>
      <c r="H414" s="71"/>
      <c r="L414" s="71"/>
      <c r="M414" s="71"/>
    </row>
    <row r="415">
      <c r="B415" s="97"/>
      <c r="C415" s="43"/>
      <c r="G415" s="71"/>
      <c r="H415" s="71"/>
      <c r="L415" s="71"/>
      <c r="M415" s="71"/>
    </row>
    <row r="416">
      <c r="B416" s="97"/>
      <c r="C416" s="43"/>
      <c r="G416" s="71"/>
      <c r="H416" s="71"/>
      <c r="L416" s="71"/>
      <c r="M416" s="71"/>
    </row>
    <row r="417">
      <c r="B417" s="97"/>
      <c r="C417" s="43"/>
      <c r="G417" s="71"/>
      <c r="H417" s="71"/>
      <c r="L417" s="71"/>
      <c r="M417" s="71"/>
    </row>
    <row r="418">
      <c r="B418" s="97"/>
      <c r="C418" s="43"/>
      <c r="G418" s="71"/>
      <c r="H418" s="71"/>
      <c r="L418" s="71"/>
      <c r="M418" s="71"/>
    </row>
    <row r="419">
      <c r="B419" s="97"/>
      <c r="C419" s="43"/>
      <c r="G419" s="71"/>
      <c r="H419" s="71"/>
      <c r="L419" s="71"/>
      <c r="M419" s="71"/>
    </row>
    <row r="420">
      <c r="B420" s="97"/>
      <c r="C420" s="43"/>
      <c r="G420" s="71"/>
      <c r="H420" s="71"/>
      <c r="L420" s="71"/>
      <c r="M420" s="71"/>
    </row>
    <row r="421">
      <c r="B421" s="97"/>
      <c r="C421" s="43"/>
      <c r="G421" s="71"/>
      <c r="H421" s="71"/>
      <c r="L421" s="71"/>
      <c r="M421" s="71"/>
    </row>
    <row r="422">
      <c r="B422" s="97"/>
      <c r="C422" s="43"/>
      <c r="G422" s="71"/>
      <c r="H422" s="71"/>
      <c r="L422" s="71"/>
      <c r="M422" s="71"/>
    </row>
    <row r="423">
      <c r="B423" s="97"/>
      <c r="C423" s="43"/>
      <c r="G423" s="71"/>
      <c r="H423" s="71"/>
      <c r="L423" s="71"/>
      <c r="M423" s="71"/>
    </row>
    <row r="424">
      <c r="B424" s="97"/>
      <c r="C424" s="43"/>
      <c r="G424" s="71"/>
      <c r="H424" s="71"/>
      <c r="L424" s="71"/>
      <c r="M424" s="71"/>
    </row>
    <row r="425">
      <c r="B425" s="97"/>
      <c r="C425" s="43"/>
      <c r="G425" s="71"/>
      <c r="H425" s="71"/>
      <c r="L425" s="71"/>
      <c r="M425" s="71"/>
    </row>
    <row r="426">
      <c r="B426" s="97"/>
      <c r="C426" s="43"/>
      <c r="G426" s="71"/>
      <c r="H426" s="71"/>
      <c r="L426" s="71"/>
      <c r="M426" s="71"/>
    </row>
    <row r="427">
      <c r="B427" s="97"/>
      <c r="C427" s="43"/>
      <c r="G427" s="71"/>
      <c r="H427" s="71"/>
      <c r="L427" s="71"/>
      <c r="M427" s="71"/>
    </row>
    <row r="428">
      <c r="B428" s="97"/>
      <c r="C428" s="43"/>
      <c r="G428" s="71"/>
      <c r="H428" s="71"/>
      <c r="L428" s="71"/>
      <c r="M428" s="71"/>
    </row>
    <row r="429">
      <c r="B429" s="97"/>
      <c r="C429" s="43"/>
      <c r="G429" s="71"/>
      <c r="H429" s="71"/>
      <c r="L429" s="71"/>
      <c r="M429" s="71"/>
    </row>
    <row r="430">
      <c r="B430" s="97"/>
      <c r="C430" s="43"/>
      <c r="G430" s="71"/>
      <c r="H430" s="71"/>
      <c r="L430" s="71"/>
      <c r="M430" s="71"/>
    </row>
    <row r="431">
      <c r="B431" s="97"/>
      <c r="C431" s="43"/>
      <c r="G431" s="71"/>
      <c r="H431" s="71"/>
      <c r="L431" s="71"/>
      <c r="M431" s="71"/>
    </row>
    <row r="432">
      <c r="B432" s="97"/>
      <c r="C432" s="43"/>
      <c r="G432" s="71"/>
      <c r="H432" s="71"/>
      <c r="L432" s="71"/>
      <c r="M432" s="71"/>
    </row>
    <row r="433">
      <c r="B433" s="97"/>
      <c r="C433" s="43"/>
      <c r="G433" s="71"/>
      <c r="H433" s="71"/>
      <c r="L433" s="71"/>
      <c r="M433" s="71"/>
    </row>
    <row r="434">
      <c r="B434" s="97"/>
      <c r="C434" s="43"/>
      <c r="G434" s="71"/>
      <c r="H434" s="71"/>
      <c r="L434" s="71"/>
      <c r="M434" s="71"/>
    </row>
    <row r="435">
      <c r="B435" s="97"/>
      <c r="C435" s="43"/>
      <c r="G435" s="71"/>
      <c r="H435" s="71"/>
      <c r="L435" s="71"/>
      <c r="M435" s="71"/>
    </row>
    <row r="436">
      <c r="B436" s="97"/>
      <c r="C436" s="43"/>
      <c r="G436" s="71"/>
      <c r="H436" s="71"/>
      <c r="L436" s="71"/>
      <c r="M436" s="71"/>
    </row>
    <row r="437">
      <c r="B437" s="97"/>
      <c r="C437" s="43"/>
      <c r="G437" s="71"/>
      <c r="H437" s="71"/>
      <c r="L437" s="71"/>
      <c r="M437" s="71"/>
    </row>
    <row r="438">
      <c r="B438" s="97"/>
      <c r="C438" s="43"/>
      <c r="G438" s="71"/>
      <c r="H438" s="71"/>
      <c r="L438" s="71"/>
      <c r="M438" s="71"/>
    </row>
    <row r="439">
      <c r="B439" s="97"/>
      <c r="C439" s="43"/>
      <c r="G439" s="71"/>
      <c r="H439" s="71"/>
      <c r="L439" s="71"/>
      <c r="M439" s="71"/>
    </row>
    <row r="440">
      <c r="B440" s="97"/>
      <c r="C440" s="43"/>
      <c r="G440" s="71"/>
      <c r="H440" s="71"/>
      <c r="L440" s="71"/>
      <c r="M440" s="71"/>
    </row>
    <row r="441">
      <c r="B441" s="97"/>
      <c r="C441" s="43"/>
      <c r="G441" s="71"/>
      <c r="H441" s="71"/>
      <c r="L441" s="71"/>
      <c r="M441" s="71"/>
    </row>
    <row r="442">
      <c r="B442" s="97"/>
      <c r="C442" s="43"/>
      <c r="G442" s="71"/>
      <c r="H442" s="71"/>
      <c r="L442" s="71"/>
      <c r="M442" s="71"/>
    </row>
    <row r="443">
      <c r="B443" s="97"/>
      <c r="C443" s="43"/>
      <c r="G443" s="71"/>
      <c r="H443" s="71"/>
      <c r="L443" s="71"/>
      <c r="M443" s="71"/>
    </row>
    <row r="444">
      <c r="B444" s="97"/>
      <c r="C444" s="43"/>
      <c r="G444" s="71"/>
      <c r="H444" s="71"/>
      <c r="L444" s="71"/>
      <c r="M444" s="71"/>
    </row>
    <row r="445">
      <c r="B445" s="97"/>
      <c r="C445" s="43"/>
      <c r="G445" s="71"/>
      <c r="H445" s="71"/>
      <c r="L445" s="71"/>
      <c r="M445" s="71"/>
    </row>
    <row r="446">
      <c r="B446" s="97"/>
      <c r="C446" s="43"/>
      <c r="G446" s="71"/>
      <c r="H446" s="71"/>
      <c r="L446" s="71"/>
      <c r="M446" s="71"/>
    </row>
    <row r="447">
      <c r="B447" s="97"/>
      <c r="C447" s="43"/>
      <c r="G447" s="71"/>
      <c r="H447" s="71"/>
      <c r="L447" s="71"/>
      <c r="M447" s="71"/>
    </row>
    <row r="448">
      <c r="B448" s="97"/>
      <c r="C448" s="43"/>
      <c r="G448" s="71"/>
      <c r="H448" s="71"/>
      <c r="L448" s="71"/>
      <c r="M448" s="71"/>
    </row>
    <row r="449">
      <c r="B449" s="97"/>
      <c r="C449" s="43"/>
      <c r="G449" s="71"/>
      <c r="H449" s="71"/>
      <c r="L449" s="71"/>
      <c r="M449" s="71"/>
    </row>
    <row r="450">
      <c r="B450" s="97"/>
      <c r="C450" s="43"/>
      <c r="G450" s="71"/>
      <c r="H450" s="71"/>
      <c r="L450" s="71"/>
      <c r="M450" s="71"/>
    </row>
    <row r="451">
      <c r="B451" s="97"/>
      <c r="C451" s="43"/>
      <c r="G451" s="71"/>
      <c r="H451" s="71"/>
      <c r="L451" s="71"/>
      <c r="M451" s="71"/>
    </row>
    <row r="452">
      <c r="B452" s="97"/>
      <c r="C452" s="43"/>
      <c r="G452" s="71"/>
      <c r="H452" s="71"/>
      <c r="L452" s="71"/>
      <c r="M452" s="71"/>
    </row>
    <row r="453">
      <c r="B453" s="97"/>
      <c r="C453" s="43"/>
      <c r="G453" s="71"/>
      <c r="H453" s="71"/>
      <c r="L453" s="71"/>
      <c r="M453" s="71"/>
    </row>
    <row r="454">
      <c r="B454" s="97"/>
      <c r="C454" s="43"/>
      <c r="G454" s="71"/>
      <c r="H454" s="71"/>
      <c r="L454" s="71"/>
      <c r="M454" s="71"/>
    </row>
    <row r="455">
      <c r="B455" s="97"/>
      <c r="C455" s="43"/>
      <c r="G455" s="71"/>
      <c r="H455" s="71"/>
      <c r="L455" s="71"/>
      <c r="M455" s="71"/>
    </row>
    <row r="456">
      <c r="B456" s="97"/>
      <c r="C456" s="43"/>
      <c r="G456" s="71"/>
      <c r="H456" s="71"/>
      <c r="L456" s="71"/>
      <c r="M456" s="71"/>
    </row>
    <row r="457">
      <c r="B457" s="97"/>
      <c r="C457" s="43"/>
      <c r="G457" s="71"/>
      <c r="H457" s="71"/>
      <c r="L457" s="71"/>
      <c r="M457" s="71"/>
    </row>
    <row r="458">
      <c r="B458" s="97"/>
      <c r="C458" s="43"/>
      <c r="G458" s="71"/>
      <c r="H458" s="71"/>
      <c r="L458" s="71"/>
      <c r="M458" s="71"/>
    </row>
    <row r="459">
      <c r="B459" s="97"/>
      <c r="C459" s="43"/>
      <c r="G459" s="71"/>
      <c r="H459" s="71"/>
      <c r="L459" s="71"/>
      <c r="M459" s="71"/>
    </row>
    <row r="460">
      <c r="B460" s="97"/>
      <c r="C460" s="43"/>
      <c r="G460" s="71"/>
      <c r="H460" s="71"/>
      <c r="L460" s="71"/>
      <c r="M460" s="71"/>
    </row>
    <row r="461">
      <c r="B461" s="97"/>
      <c r="C461" s="43"/>
      <c r="G461" s="71"/>
      <c r="H461" s="71"/>
      <c r="L461" s="71"/>
      <c r="M461" s="71"/>
    </row>
    <row r="462">
      <c r="B462" s="97"/>
      <c r="C462" s="43"/>
      <c r="G462" s="71"/>
      <c r="H462" s="71"/>
      <c r="L462" s="71"/>
      <c r="M462" s="71"/>
    </row>
    <row r="463">
      <c r="B463" s="97"/>
      <c r="C463" s="43"/>
      <c r="G463" s="71"/>
      <c r="H463" s="71"/>
      <c r="L463" s="71"/>
      <c r="M463" s="71"/>
    </row>
    <row r="464">
      <c r="B464" s="97"/>
      <c r="C464" s="43"/>
      <c r="G464" s="71"/>
      <c r="H464" s="71"/>
      <c r="L464" s="71"/>
      <c r="M464" s="71"/>
    </row>
    <row r="465">
      <c r="B465" s="97"/>
      <c r="C465" s="43"/>
      <c r="G465" s="71"/>
      <c r="H465" s="71"/>
      <c r="L465" s="71"/>
      <c r="M465" s="71"/>
    </row>
    <row r="466">
      <c r="B466" s="97"/>
      <c r="C466" s="43"/>
      <c r="G466" s="71"/>
      <c r="H466" s="71"/>
      <c r="L466" s="71"/>
      <c r="M466" s="71"/>
    </row>
    <row r="467">
      <c r="B467" s="97"/>
      <c r="C467" s="43"/>
      <c r="G467" s="71"/>
      <c r="H467" s="71"/>
      <c r="L467" s="71"/>
      <c r="M467" s="71"/>
    </row>
    <row r="468">
      <c r="B468" s="97"/>
      <c r="C468" s="43"/>
      <c r="G468" s="71"/>
      <c r="H468" s="71"/>
      <c r="L468" s="71"/>
      <c r="M468" s="71"/>
    </row>
    <row r="469">
      <c r="B469" s="97"/>
      <c r="C469" s="43"/>
      <c r="G469" s="71"/>
      <c r="H469" s="71"/>
      <c r="L469" s="71"/>
      <c r="M469" s="71"/>
    </row>
    <row r="470">
      <c r="B470" s="97"/>
      <c r="C470" s="43"/>
      <c r="G470" s="71"/>
      <c r="H470" s="71"/>
      <c r="L470" s="71"/>
      <c r="M470" s="71"/>
    </row>
    <row r="471">
      <c r="B471" s="97"/>
      <c r="C471" s="43"/>
      <c r="G471" s="71"/>
      <c r="H471" s="71"/>
      <c r="L471" s="71"/>
      <c r="M471" s="71"/>
    </row>
    <row r="472">
      <c r="B472" s="97"/>
      <c r="C472" s="43"/>
      <c r="G472" s="71"/>
      <c r="H472" s="71"/>
      <c r="L472" s="71"/>
      <c r="M472" s="71"/>
    </row>
    <row r="473">
      <c r="B473" s="97"/>
      <c r="C473" s="43"/>
      <c r="G473" s="71"/>
      <c r="H473" s="71"/>
      <c r="L473" s="71"/>
      <c r="M473" s="71"/>
    </row>
    <row r="474">
      <c r="B474" s="97"/>
      <c r="C474" s="43"/>
      <c r="G474" s="71"/>
      <c r="H474" s="71"/>
      <c r="L474" s="71"/>
      <c r="M474" s="71"/>
    </row>
    <row r="475">
      <c r="B475" s="97"/>
      <c r="C475" s="43"/>
      <c r="G475" s="71"/>
      <c r="H475" s="71"/>
      <c r="L475" s="71"/>
      <c r="M475" s="71"/>
    </row>
    <row r="476">
      <c r="B476" s="97"/>
      <c r="C476" s="43"/>
      <c r="G476" s="71"/>
      <c r="H476" s="71"/>
      <c r="L476" s="71"/>
      <c r="M476" s="71"/>
    </row>
    <row r="477">
      <c r="B477" s="97"/>
      <c r="C477" s="43"/>
      <c r="G477" s="71"/>
      <c r="H477" s="71"/>
      <c r="L477" s="71"/>
      <c r="M477" s="71"/>
    </row>
    <row r="478">
      <c r="B478" s="97"/>
      <c r="C478" s="43"/>
      <c r="G478" s="71"/>
      <c r="H478" s="71"/>
      <c r="L478" s="71"/>
      <c r="M478" s="71"/>
    </row>
    <row r="479">
      <c r="B479" s="97"/>
      <c r="C479" s="43"/>
      <c r="G479" s="71"/>
      <c r="H479" s="71"/>
      <c r="L479" s="71"/>
      <c r="M479" s="71"/>
    </row>
    <row r="480">
      <c r="B480" s="97"/>
      <c r="C480" s="43"/>
      <c r="G480" s="71"/>
      <c r="H480" s="71"/>
      <c r="L480" s="71"/>
      <c r="M480" s="71"/>
    </row>
    <row r="481">
      <c r="B481" s="97"/>
      <c r="C481" s="43"/>
      <c r="G481" s="71"/>
      <c r="H481" s="71"/>
      <c r="L481" s="71"/>
      <c r="M481" s="71"/>
    </row>
    <row r="482">
      <c r="B482" s="97"/>
      <c r="C482" s="43"/>
      <c r="G482" s="71"/>
      <c r="H482" s="71"/>
      <c r="L482" s="71"/>
      <c r="M482" s="71"/>
    </row>
    <row r="483">
      <c r="B483" s="97"/>
      <c r="C483" s="43"/>
      <c r="G483" s="71"/>
      <c r="H483" s="71"/>
      <c r="L483" s="71"/>
      <c r="M483" s="71"/>
    </row>
    <row r="484">
      <c r="B484" s="97"/>
      <c r="C484" s="43"/>
      <c r="G484" s="71"/>
      <c r="H484" s="71"/>
      <c r="L484" s="71"/>
      <c r="M484" s="71"/>
    </row>
    <row r="485">
      <c r="B485" s="97"/>
      <c r="C485" s="43"/>
      <c r="G485" s="71"/>
      <c r="H485" s="71"/>
      <c r="L485" s="71"/>
      <c r="M485" s="71"/>
    </row>
    <row r="486">
      <c r="B486" s="97"/>
      <c r="C486" s="43"/>
      <c r="G486" s="71"/>
      <c r="H486" s="71"/>
      <c r="L486" s="71"/>
      <c r="M486" s="71"/>
    </row>
    <row r="487">
      <c r="B487" s="97"/>
      <c r="C487" s="43"/>
      <c r="G487" s="71"/>
      <c r="H487" s="71"/>
      <c r="L487" s="71"/>
      <c r="M487" s="71"/>
    </row>
    <row r="488">
      <c r="B488" s="97"/>
      <c r="C488" s="43"/>
      <c r="G488" s="71"/>
      <c r="H488" s="71"/>
      <c r="L488" s="71"/>
      <c r="M488" s="71"/>
    </row>
    <row r="489">
      <c r="B489" s="97"/>
      <c r="C489" s="43"/>
      <c r="G489" s="71"/>
      <c r="H489" s="71"/>
      <c r="L489" s="71"/>
      <c r="M489" s="71"/>
    </row>
    <row r="490">
      <c r="B490" s="97"/>
      <c r="C490" s="43"/>
      <c r="G490" s="71"/>
      <c r="H490" s="71"/>
      <c r="L490" s="71"/>
      <c r="M490" s="71"/>
    </row>
    <row r="491">
      <c r="B491" s="97"/>
      <c r="C491" s="43"/>
      <c r="G491" s="71"/>
      <c r="H491" s="71"/>
      <c r="L491" s="71"/>
      <c r="M491" s="71"/>
    </row>
    <row r="492">
      <c r="B492" s="97"/>
      <c r="C492" s="43"/>
      <c r="G492" s="71"/>
      <c r="H492" s="71"/>
      <c r="L492" s="71"/>
      <c r="M492" s="71"/>
    </row>
    <row r="493">
      <c r="B493" s="97"/>
      <c r="C493" s="43"/>
      <c r="G493" s="71"/>
      <c r="H493" s="71"/>
      <c r="L493" s="71"/>
      <c r="M493" s="71"/>
    </row>
    <row r="494">
      <c r="B494" s="97"/>
      <c r="C494" s="43"/>
      <c r="G494" s="71"/>
      <c r="H494" s="71"/>
      <c r="L494" s="71"/>
      <c r="M494" s="71"/>
    </row>
    <row r="495">
      <c r="B495" s="97"/>
      <c r="C495" s="43"/>
      <c r="G495" s="71"/>
      <c r="H495" s="71"/>
      <c r="L495" s="71"/>
      <c r="M495" s="71"/>
    </row>
    <row r="496">
      <c r="B496" s="97"/>
      <c r="C496" s="43"/>
      <c r="G496" s="71"/>
      <c r="H496" s="71"/>
      <c r="L496" s="71"/>
      <c r="M496" s="71"/>
    </row>
    <row r="497">
      <c r="B497" s="97"/>
      <c r="C497" s="43"/>
      <c r="G497" s="71"/>
      <c r="H497" s="71"/>
      <c r="L497" s="71"/>
      <c r="M497" s="71"/>
    </row>
    <row r="498">
      <c r="B498" s="97"/>
      <c r="C498" s="43"/>
      <c r="G498" s="71"/>
      <c r="H498" s="71"/>
      <c r="L498" s="71"/>
      <c r="M498" s="71"/>
    </row>
    <row r="499">
      <c r="B499" s="97"/>
      <c r="C499" s="43"/>
      <c r="G499" s="71"/>
      <c r="H499" s="71"/>
      <c r="L499" s="71"/>
      <c r="M499" s="71"/>
    </row>
    <row r="500">
      <c r="B500" s="97"/>
      <c r="C500" s="43"/>
      <c r="G500" s="71"/>
      <c r="H500" s="71"/>
      <c r="L500" s="71"/>
      <c r="M500" s="71"/>
    </row>
    <row r="501">
      <c r="B501" s="97"/>
      <c r="C501" s="43"/>
      <c r="G501" s="71"/>
      <c r="H501" s="71"/>
      <c r="L501" s="71"/>
      <c r="M501" s="71"/>
    </row>
    <row r="502">
      <c r="B502" s="97"/>
      <c r="C502" s="43"/>
      <c r="G502" s="71"/>
      <c r="H502" s="71"/>
      <c r="L502" s="71"/>
      <c r="M502" s="71"/>
    </row>
    <row r="503">
      <c r="B503" s="97"/>
      <c r="C503" s="43"/>
      <c r="G503" s="71"/>
      <c r="H503" s="71"/>
      <c r="L503" s="71"/>
      <c r="M503" s="71"/>
    </row>
    <row r="504">
      <c r="B504" s="97"/>
      <c r="C504" s="43"/>
      <c r="G504" s="71"/>
      <c r="H504" s="71"/>
      <c r="L504" s="71"/>
      <c r="M504" s="71"/>
    </row>
    <row r="505">
      <c r="B505" s="97"/>
      <c r="C505" s="43"/>
      <c r="G505" s="71"/>
      <c r="H505" s="71"/>
      <c r="L505" s="71"/>
      <c r="M505" s="71"/>
    </row>
    <row r="506">
      <c r="B506" s="97"/>
      <c r="C506" s="43"/>
      <c r="G506" s="71"/>
      <c r="H506" s="71"/>
      <c r="L506" s="71"/>
      <c r="M506" s="71"/>
    </row>
    <row r="507">
      <c r="B507" s="97"/>
      <c r="C507" s="43"/>
      <c r="G507" s="71"/>
      <c r="H507" s="71"/>
      <c r="L507" s="71"/>
      <c r="M507" s="71"/>
    </row>
    <row r="508">
      <c r="B508" s="97"/>
      <c r="C508" s="43"/>
      <c r="G508" s="71"/>
      <c r="H508" s="71"/>
      <c r="L508" s="71"/>
      <c r="M508" s="71"/>
    </row>
    <row r="509">
      <c r="B509" s="97"/>
      <c r="C509" s="43"/>
      <c r="G509" s="71"/>
      <c r="H509" s="71"/>
      <c r="L509" s="71"/>
      <c r="M509" s="71"/>
    </row>
    <row r="510">
      <c r="B510" s="97"/>
      <c r="C510" s="43"/>
      <c r="G510" s="71"/>
      <c r="H510" s="71"/>
      <c r="L510" s="71"/>
      <c r="M510" s="71"/>
    </row>
    <row r="511">
      <c r="B511" s="97"/>
      <c r="C511" s="43"/>
      <c r="G511" s="71"/>
      <c r="H511" s="71"/>
      <c r="L511" s="71"/>
      <c r="M511" s="71"/>
    </row>
    <row r="512">
      <c r="B512" s="97"/>
      <c r="C512" s="43"/>
      <c r="G512" s="71"/>
      <c r="H512" s="71"/>
      <c r="L512" s="71"/>
      <c r="M512" s="71"/>
    </row>
    <row r="513">
      <c r="B513" s="97"/>
      <c r="C513" s="43"/>
      <c r="G513" s="71"/>
      <c r="H513" s="71"/>
      <c r="L513" s="71"/>
      <c r="M513" s="71"/>
    </row>
    <row r="514">
      <c r="B514" s="97"/>
      <c r="C514" s="43"/>
      <c r="G514" s="71"/>
      <c r="H514" s="71"/>
      <c r="L514" s="71"/>
      <c r="M514" s="71"/>
    </row>
    <row r="515">
      <c r="B515" s="97"/>
      <c r="C515" s="43"/>
      <c r="G515" s="71"/>
      <c r="H515" s="71"/>
      <c r="L515" s="71"/>
      <c r="M515" s="71"/>
    </row>
    <row r="516">
      <c r="B516" s="97"/>
      <c r="C516" s="43"/>
      <c r="G516" s="71"/>
      <c r="H516" s="71"/>
      <c r="L516" s="71"/>
      <c r="M516" s="71"/>
    </row>
    <row r="517">
      <c r="B517" s="97"/>
      <c r="C517" s="43"/>
      <c r="G517" s="71"/>
      <c r="H517" s="71"/>
      <c r="L517" s="71"/>
      <c r="M517" s="71"/>
    </row>
    <row r="518">
      <c r="B518" s="97"/>
      <c r="C518" s="43"/>
      <c r="G518" s="71"/>
      <c r="H518" s="71"/>
      <c r="L518" s="71"/>
      <c r="M518" s="71"/>
    </row>
    <row r="519">
      <c r="B519" s="97"/>
      <c r="C519" s="43"/>
      <c r="G519" s="71"/>
      <c r="H519" s="71"/>
      <c r="L519" s="71"/>
      <c r="M519" s="71"/>
    </row>
    <row r="520">
      <c r="B520" s="97"/>
      <c r="C520" s="43"/>
      <c r="G520" s="71"/>
      <c r="H520" s="71"/>
      <c r="L520" s="71"/>
      <c r="M520" s="71"/>
    </row>
    <row r="521">
      <c r="B521" s="97"/>
      <c r="C521" s="43"/>
      <c r="G521" s="71"/>
      <c r="H521" s="71"/>
      <c r="L521" s="71"/>
      <c r="M521" s="71"/>
    </row>
    <row r="522">
      <c r="B522" s="97"/>
      <c r="C522" s="43"/>
      <c r="G522" s="71"/>
      <c r="H522" s="71"/>
      <c r="L522" s="71"/>
      <c r="M522" s="71"/>
    </row>
    <row r="523">
      <c r="B523" s="97"/>
      <c r="C523" s="43"/>
      <c r="G523" s="71"/>
      <c r="H523" s="71"/>
      <c r="L523" s="71"/>
      <c r="M523" s="71"/>
    </row>
    <row r="524">
      <c r="B524" s="97"/>
      <c r="C524" s="43"/>
      <c r="G524" s="71"/>
      <c r="H524" s="71"/>
      <c r="L524" s="71"/>
      <c r="M524" s="71"/>
    </row>
    <row r="525">
      <c r="B525" s="97"/>
      <c r="C525" s="43"/>
      <c r="G525" s="71"/>
      <c r="H525" s="71"/>
      <c r="L525" s="71"/>
      <c r="M525" s="71"/>
    </row>
    <row r="526">
      <c r="B526" s="97"/>
      <c r="C526" s="43"/>
      <c r="G526" s="71"/>
      <c r="H526" s="71"/>
      <c r="L526" s="71"/>
      <c r="M526" s="71"/>
    </row>
    <row r="527">
      <c r="B527" s="97"/>
      <c r="C527" s="43"/>
      <c r="G527" s="71"/>
      <c r="H527" s="71"/>
      <c r="L527" s="71"/>
      <c r="M527" s="71"/>
    </row>
    <row r="528">
      <c r="B528" s="97"/>
      <c r="C528" s="43"/>
      <c r="G528" s="71"/>
      <c r="H528" s="71"/>
      <c r="L528" s="71"/>
      <c r="M528" s="71"/>
    </row>
    <row r="529">
      <c r="B529" s="97"/>
      <c r="C529" s="43"/>
      <c r="G529" s="71"/>
      <c r="H529" s="71"/>
      <c r="L529" s="71"/>
      <c r="M529" s="71"/>
    </row>
    <row r="530">
      <c r="B530" s="97"/>
      <c r="C530" s="43"/>
      <c r="G530" s="71"/>
      <c r="H530" s="71"/>
      <c r="L530" s="71"/>
      <c r="M530" s="71"/>
    </row>
    <row r="531">
      <c r="B531" s="97"/>
      <c r="C531" s="43"/>
      <c r="G531" s="71"/>
      <c r="H531" s="71"/>
      <c r="L531" s="71"/>
      <c r="M531" s="71"/>
    </row>
    <row r="532">
      <c r="B532" s="97"/>
      <c r="C532" s="43"/>
      <c r="G532" s="71"/>
      <c r="H532" s="71"/>
      <c r="L532" s="71"/>
      <c r="M532" s="71"/>
    </row>
    <row r="533">
      <c r="B533" s="97"/>
      <c r="C533" s="43"/>
      <c r="G533" s="71"/>
      <c r="H533" s="71"/>
      <c r="L533" s="71"/>
      <c r="M533" s="71"/>
    </row>
    <row r="534">
      <c r="B534" s="97"/>
      <c r="C534" s="43"/>
      <c r="G534" s="71"/>
      <c r="H534" s="71"/>
      <c r="L534" s="71"/>
      <c r="M534" s="71"/>
    </row>
    <row r="535">
      <c r="B535" s="97"/>
      <c r="C535" s="43"/>
      <c r="G535" s="71"/>
      <c r="H535" s="71"/>
      <c r="L535" s="71"/>
      <c r="M535" s="71"/>
    </row>
    <row r="536">
      <c r="B536" s="97"/>
      <c r="C536" s="43"/>
      <c r="G536" s="71"/>
      <c r="H536" s="71"/>
      <c r="L536" s="71"/>
      <c r="M536" s="71"/>
    </row>
    <row r="537">
      <c r="B537" s="97"/>
      <c r="C537" s="43"/>
      <c r="G537" s="71"/>
      <c r="H537" s="71"/>
      <c r="L537" s="71"/>
      <c r="M537" s="71"/>
    </row>
    <row r="538">
      <c r="B538" s="97"/>
      <c r="C538" s="43"/>
      <c r="G538" s="71"/>
      <c r="H538" s="71"/>
      <c r="L538" s="71"/>
      <c r="M538" s="71"/>
    </row>
    <row r="539">
      <c r="B539" s="97"/>
      <c r="C539" s="43"/>
      <c r="G539" s="71"/>
      <c r="H539" s="71"/>
      <c r="L539" s="71"/>
      <c r="M539" s="71"/>
    </row>
    <row r="540">
      <c r="B540" s="97"/>
      <c r="C540" s="43"/>
      <c r="G540" s="71"/>
      <c r="H540" s="71"/>
      <c r="L540" s="71"/>
      <c r="M540" s="71"/>
    </row>
    <row r="541">
      <c r="B541" s="97"/>
      <c r="C541" s="43"/>
      <c r="G541" s="71"/>
      <c r="H541" s="71"/>
      <c r="L541" s="71"/>
      <c r="M541" s="71"/>
    </row>
    <row r="542">
      <c r="B542" s="97"/>
      <c r="C542" s="43"/>
      <c r="G542" s="71"/>
      <c r="H542" s="71"/>
      <c r="L542" s="71"/>
      <c r="M542" s="71"/>
    </row>
    <row r="543">
      <c r="B543" s="97"/>
      <c r="C543" s="43"/>
      <c r="G543" s="71"/>
      <c r="H543" s="71"/>
      <c r="L543" s="71"/>
      <c r="M543" s="71"/>
    </row>
    <row r="544">
      <c r="B544" s="97"/>
      <c r="C544" s="43"/>
      <c r="G544" s="71"/>
      <c r="H544" s="71"/>
      <c r="L544" s="71"/>
      <c r="M544" s="71"/>
    </row>
    <row r="545">
      <c r="B545" s="97"/>
      <c r="C545" s="43"/>
      <c r="G545" s="71"/>
      <c r="H545" s="71"/>
      <c r="L545" s="71"/>
      <c r="M545" s="71"/>
    </row>
    <row r="546">
      <c r="B546" s="97"/>
      <c r="C546" s="43"/>
      <c r="G546" s="71"/>
      <c r="H546" s="71"/>
      <c r="L546" s="71"/>
      <c r="M546" s="71"/>
    </row>
    <row r="547">
      <c r="B547" s="97"/>
      <c r="C547" s="43"/>
      <c r="G547" s="71"/>
      <c r="H547" s="71"/>
      <c r="L547" s="71"/>
      <c r="M547" s="71"/>
    </row>
    <row r="548">
      <c r="B548" s="97"/>
      <c r="C548" s="43"/>
      <c r="G548" s="71"/>
      <c r="H548" s="71"/>
      <c r="L548" s="71"/>
      <c r="M548" s="71"/>
    </row>
    <row r="549">
      <c r="B549" s="97"/>
      <c r="C549" s="43"/>
      <c r="G549" s="71"/>
      <c r="H549" s="71"/>
      <c r="L549" s="71"/>
      <c r="M549" s="71"/>
    </row>
    <row r="550">
      <c r="B550" s="97"/>
      <c r="C550" s="43"/>
      <c r="G550" s="71"/>
      <c r="H550" s="71"/>
      <c r="L550" s="71"/>
      <c r="M550" s="71"/>
    </row>
    <row r="551">
      <c r="B551" s="97"/>
      <c r="C551" s="43"/>
      <c r="G551" s="71"/>
      <c r="H551" s="71"/>
      <c r="L551" s="71"/>
      <c r="M551" s="71"/>
    </row>
    <row r="552">
      <c r="B552" s="97"/>
      <c r="C552" s="43"/>
      <c r="G552" s="71"/>
      <c r="H552" s="71"/>
      <c r="L552" s="71"/>
      <c r="M552" s="71"/>
    </row>
    <row r="553">
      <c r="B553" s="97"/>
      <c r="C553" s="43"/>
      <c r="G553" s="71"/>
      <c r="H553" s="71"/>
      <c r="L553" s="71"/>
      <c r="M553" s="71"/>
    </row>
    <row r="554">
      <c r="B554" s="97"/>
      <c r="C554" s="43"/>
      <c r="G554" s="71"/>
      <c r="H554" s="71"/>
      <c r="L554" s="71"/>
      <c r="M554" s="71"/>
    </row>
    <row r="555">
      <c r="B555" s="97"/>
      <c r="C555" s="43"/>
      <c r="G555" s="71"/>
      <c r="H555" s="71"/>
      <c r="L555" s="71"/>
      <c r="M555" s="71"/>
    </row>
    <row r="556">
      <c r="B556" s="97"/>
      <c r="C556" s="43"/>
      <c r="G556" s="71"/>
      <c r="H556" s="71"/>
      <c r="L556" s="71"/>
      <c r="M556" s="71"/>
    </row>
    <row r="557">
      <c r="B557" s="97"/>
      <c r="C557" s="43"/>
      <c r="G557" s="71"/>
      <c r="H557" s="71"/>
      <c r="L557" s="71"/>
      <c r="M557" s="71"/>
    </row>
    <row r="558">
      <c r="B558" s="97"/>
      <c r="C558" s="43"/>
      <c r="G558" s="71"/>
      <c r="H558" s="71"/>
      <c r="L558" s="71"/>
      <c r="M558" s="71"/>
    </row>
    <row r="559">
      <c r="B559" s="97"/>
      <c r="C559" s="43"/>
      <c r="G559" s="71"/>
      <c r="H559" s="71"/>
      <c r="L559" s="71"/>
      <c r="M559" s="71"/>
    </row>
    <row r="560">
      <c r="B560" s="97"/>
      <c r="C560" s="43"/>
      <c r="G560" s="71"/>
      <c r="H560" s="71"/>
      <c r="L560" s="71"/>
      <c r="M560" s="71"/>
    </row>
    <row r="561">
      <c r="B561" s="97"/>
      <c r="C561" s="43"/>
      <c r="G561" s="71"/>
      <c r="H561" s="71"/>
      <c r="L561" s="71"/>
      <c r="M561" s="71"/>
    </row>
    <row r="562">
      <c r="B562" s="97"/>
      <c r="C562" s="43"/>
      <c r="G562" s="71"/>
      <c r="H562" s="71"/>
      <c r="L562" s="71"/>
      <c r="M562" s="71"/>
    </row>
    <row r="563">
      <c r="B563" s="97"/>
      <c r="C563" s="43"/>
      <c r="G563" s="71"/>
      <c r="H563" s="71"/>
      <c r="L563" s="71"/>
      <c r="M563" s="71"/>
    </row>
    <row r="564">
      <c r="B564" s="97"/>
      <c r="C564" s="43"/>
      <c r="G564" s="71"/>
      <c r="H564" s="71"/>
      <c r="L564" s="71"/>
      <c r="M564" s="71"/>
    </row>
    <row r="565">
      <c r="B565" s="97"/>
      <c r="C565" s="43"/>
      <c r="G565" s="71"/>
      <c r="H565" s="71"/>
      <c r="L565" s="71"/>
      <c r="M565" s="71"/>
    </row>
    <row r="566">
      <c r="B566" s="97"/>
      <c r="C566" s="43"/>
      <c r="G566" s="71"/>
      <c r="H566" s="71"/>
      <c r="L566" s="71"/>
      <c r="M566" s="71"/>
    </row>
    <row r="567">
      <c r="B567" s="97"/>
      <c r="C567" s="43"/>
      <c r="G567" s="71"/>
      <c r="H567" s="71"/>
      <c r="L567" s="71"/>
      <c r="M567" s="71"/>
    </row>
    <row r="568">
      <c r="B568" s="97"/>
      <c r="C568" s="43"/>
      <c r="G568" s="71"/>
      <c r="H568" s="71"/>
      <c r="L568" s="71"/>
      <c r="M568" s="71"/>
    </row>
    <row r="569">
      <c r="B569" s="97"/>
      <c r="C569" s="43"/>
      <c r="G569" s="71"/>
      <c r="H569" s="71"/>
      <c r="L569" s="71"/>
      <c r="M569" s="71"/>
    </row>
    <row r="570">
      <c r="B570" s="97"/>
      <c r="C570" s="43"/>
      <c r="G570" s="71"/>
      <c r="H570" s="71"/>
      <c r="L570" s="71"/>
      <c r="M570" s="71"/>
    </row>
    <row r="571">
      <c r="B571" s="97"/>
      <c r="C571" s="43"/>
      <c r="G571" s="71"/>
      <c r="H571" s="71"/>
      <c r="L571" s="71"/>
      <c r="M571" s="71"/>
    </row>
    <row r="572">
      <c r="B572" s="97"/>
      <c r="C572" s="43"/>
      <c r="G572" s="71"/>
      <c r="H572" s="71"/>
      <c r="L572" s="71"/>
      <c r="M572" s="71"/>
    </row>
    <row r="573">
      <c r="B573" s="97"/>
      <c r="C573" s="43"/>
      <c r="G573" s="71"/>
      <c r="H573" s="71"/>
      <c r="L573" s="71"/>
      <c r="M573" s="71"/>
    </row>
    <row r="574">
      <c r="B574" s="97"/>
      <c r="C574" s="43"/>
      <c r="G574" s="71"/>
      <c r="H574" s="71"/>
      <c r="L574" s="71"/>
      <c r="M574" s="71"/>
    </row>
    <row r="575">
      <c r="B575" s="97"/>
      <c r="C575" s="43"/>
      <c r="G575" s="71"/>
      <c r="H575" s="71"/>
      <c r="L575" s="71"/>
      <c r="M575" s="71"/>
    </row>
    <row r="576">
      <c r="B576" s="97"/>
      <c r="C576" s="43"/>
      <c r="G576" s="71"/>
      <c r="H576" s="71"/>
      <c r="L576" s="71"/>
      <c r="M576" s="71"/>
    </row>
    <row r="577">
      <c r="B577" s="97"/>
      <c r="C577" s="43"/>
      <c r="G577" s="71"/>
      <c r="H577" s="71"/>
      <c r="L577" s="71"/>
      <c r="M577" s="71"/>
    </row>
    <row r="578">
      <c r="B578" s="97"/>
      <c r="C578" s="43"/>
      <c r="G578" s="71"/>
      <c r="H578" s="71"/>
      <c r="L578" s="71"/>
      <c r="M578" s="71"/>
    </row>
    <row r="579">
      <c r="B579" s="97"/>
      <c r="C579" s="43"/>
      <c r="G579" s="71"/>
      <c r="H579" s="71"/>
      <c r="L579" s="71"/>
      <c r="M579" s="71"/>
    </row>
    <row r="580">
      <c r="B580" s="97"/>
      <c r="C580" s="43"/>
      <c r="G580" s="71"/>
      <c r="H580" s="71"/>
      <c r="L580" s="71"/>
      <c r="M580" s="71"/>
    </row>
    <row r="581">
      <c r="B581" s="97"/>
      <c r="C581" s="43"/>
      <c r="G581" s="71"/>
      <c r="H581" s="71"/>
      <c r="L581" s="71"/>
      <c r="M581" s="71"/>
    </row>
    <row r="582">
      <c r="B582" s="97"/>
      <c r="C582" s="43"/>
      <c r="G582" s="71"/>
      <c r="H582" s="71"/>
      <c r="L582" s="71"/>
      <c r="M582" s="71"/>
    </row>
    <row r="583">
      <c r="B583" s="97"/>
      <c r="C583" s="43"/>
      <c r="G583" s="71"/>
      <c r="H583" s="71"/>
      <c r="L583" s="71"/>
      <c r="M583" s="71"/>
    </row>
    <row r="584">
      <c r="B584" s="97"/>
      <c r="C584" s="43"/>
      <c r="G584" s="71"/>
      <c r="H584" s="71"/>
      <c r="L584" s="71"/>
      <c r="M584" s="71"/>
    </row>
    <row r="585">
      <c r="B585" s="97"/>
      <c r="C585" s="43"/>
      <c r="G585" s="71"/>
      <c r="H585" s="71"/>
      <c r="L585" s="71"/>
      <c r="M585" s="71"/>
    </row>
    <row r="586">
      <c r="B586" s="97"/>
      <c r="C586" s="43"/>
      <c r="G586" s="71"/>
      <c r="H586" s="71"/>
      <c r="L586" s="71"/>
      <c r="M586" s="71"/>
    </row>
    <row r="587">
      <c r="B587" s="97"/>
      <c r="C587" s="43"/>
      <c r="G587" s="71"/>
      <c r="H587" s="71"/>
      <c r="L587" s="71"/>
      <c r="M587" s="71"/>
    </row>
    <row r="588">
      <c r="B588" s="97"/>
      <c r="C588" s="43"/>
      <c r="G588" s="71"/>
      <c r="H588" s="71"/>
      <c r="L588" s="71"/>
      <c r="M588" s="71"/>
    </row>
    <row r="589">
      <c r="B589" s="97"/>
      <c r="C589" s="43"/>
      <c r="G589" s="71"/>
      <c r="H589" s="71"/>
      <c r="L589" s="71"/>
      <c r="M589" s="71"/>
    </row>
    <row r="590">
      <c r="B590" s="97"/>
      <c r="C590" s="43"/>
      <c r="G590" s="71"/>
      <c r="H590" s="71"/>
      <c r="L590" s="71"/>
      <c r="M590" s="71"/>
    </row>
    <row r="591">
      <c r="B591" s="97"/>
      <c r="C591" s="43"/>
      <c r="G591" s="71"/>
      <c r="H591" s="71"/>
      <c r="L591" s="71"/>
      <c r="M591" s="71"/>
    </row>
    <row r="592">
      <c r="B592" s="97"/>
      <c r="C592" s="43"/>
      <c r="G592" s="71"/>
      <c r="H592" s="71"/>
      <c r="L592" s="71"/>
      <c r="M592" s="71"/>
    </row>
    <row r="593">
      <c r="B593" s="97"/>
      <c r="C593" s="43"/>
      <c r="G593" s="71"/>
      <c r="H593" s="71"/>
      <c r="L593" s="71"/>
      <c r="M593" s="71"/>
    </row>
    <row r="594">
      <c r="B594" s="97"/>
      <c r="C594" s="43"/>
      <c r="G594" s="71"/>
      <c r="H594" s="71"/>
      <c r="L594" s="71"/>
      <c r="M594" s="71"/>
    </row>
    <row r="595">
      <c r="B595" s="97"/>
      <c r="C595" s="43"/>
      <c r="G595" s="71"/>
      <c r="H595" s="71"/>
      <c r="L595" s="71"/>
      <c r="M595" s="71"/>
    </row>
    <row r="596">
      <c r="B596" s="97"/>
      <c r="C596" s="43"/>
      <c r="G596" s="71"/>
      <c r="H596" s="71"/>
      <c r="L596" s="71"/>
      <c r="M596" s="71"/>
    </row>
    <row r="597">
      <c r="B597" s="97"/>
      <c r="C597" s="43"/>
      <c r="G597" s="71"/>
      <c r="H597" s="71"/>
      <c r="L597" s="71"/>
      <c r="M597" s="71"/>
    </row>
    <row r="598">
      <c r="B598" s="97"/>
      <c r="C598" s="43"/>
      <c r="G598" s="71"/>
      <c r="H598" s="71"/>
      <c r="L598" s="71"/>
      <c r="M598" s="71"/>
    </row>
    <row r="599">
      <c r="B599" s="97"/>
      <c r="C599" s="43"/>
      <c r="G599" s="71"/>
      <c r="H599" s="71"/>
      <c r="L599" s="71"/>
      <c r="M599" s="71"/>
    </row>
    <row r="600">
      <c r="B600" s="97"/>
      <c r="C600" s="43"/>
      <c r="G600" s="71"/>
      <c r="H600" s="71"/>
      <c r="L600" s="71"/>
      <c r="M600" s="71"/>
    </row>
    <row r="601">
      <c r="B601" s="97"/>
      <c r="C601" s="43"/>
      <c r="G601" s="71"/>
      <c r="H601" s="71"/>
      <c r="L601" s="71"/>
      <c r="M601" s="71"/>
    </row>
    <row r="602">
      <c r="B602" s="97"/>
      <c r="C602" s="43"/>
      <c r="G602" s="71"/>
      <c r="H602" s="71"/>
      <c r="L602" s="71"/>
      <c r="M602" s="71"/>
    </row>
    <row r="603">
      <c r="B603" s="97"/>
      <c r="C603" s="43"/>
      <c r="G603" s="71"/>
      <c r="H603" s="71"/>
      <c r="L603" s="71"/>
      <c r="M603" s="71"/>
    </row>
    <row r="604">
      <c r="B604" s="97"/>
      <c r="C604" s="43"/>
      <c r="G604" s="71"/>
      <c r="H604" s="71"/>
      <c r="L604" s="71"/>
      <c r="M604" s="71"/>
    </row>
    <row r="605">
      <c r="B605" s="97"/>
      <c r="C605" s="43"/>
      <c r="G605" s="71"/>
      <c r="H605" s="71"/>
      <c r="L605" s="71"/>
      <c r="M605" s="71"/>
    </row>
    <row r="606">
      <c r="B606" s="97"/>
      <c r="C606" s="43"/>
      <c r="G606" s="71"/>
      <c r="H606" s="71"/>
      <c r="L606" s="71"/>
      <c r="M606" s="71"/>
    </row>
    <row r="607">
      <c r="B607" s="97"/>
      <c r="C607" s="43"/>
      <c r="G607" s="71"/>
      <c r="H607" s="71"/>
      <c r="L607" s="71"/>
      <c r="M607" s="71"/>
    </row>
    <row r="608">
      <c r="B608" s="97"/>
      <c r="C608" s="43"/>
      <c r="G608" s="71"/>
      <c r="H608" s="71"/>
      <c r="L608" s="71"/>
      <c r="M608" s="71"/>
    </row>
    <row r="609">
      <c r="B609" s="97"/>
      <c r="C609" s="43"/>
      <c r="G609" s="71"/>
      <c r="H609" s="71"/>
      <c r="L609" s="71"/>
      <c r="M609" s="71"/>
    </row>
    <row r="610">
      <c r="B610" s="97"/>
      <c r="C610" s="43"/>
      <c r="G610" s="71"/>
      <c r="H610" s="71"/>
      <c r="L610" s="71"/>
      <c r="M610" s="71"/>
    </row>
    <row r="611">
      <c r="B611" s="97"/>
      <c r="C611" s="43"/>
      <c r="G611" s="71"/>
      <c r="H611" s="71"/>
      <c r="L611" s="71"/>
      <c r="M611" s="71"/>
    </row>
    <row r="612">
      <c r="B612" s="97"/>
      <c r="C612" s="43"/>
      <c r="G612" s="71"/>
      <c r="H612" s="71"/>
      <c r="L612" s="71"/>
      <c r="M612" s="71"/>
    </row>
    <row r="613">
      <c r="B613" s="97"/>
      <c r="C613" s="43"/>
      <c r="G613" s="71"/>
      <c r="H613" s="71"/>
      <c r="L613" s="71"/>
      <c r="M613" s="71"/>
    </row>
    <row r="614">
      <c r="B614" s="97"/>
      <c r="C614" s="43"/>
      <c r="G614" s="71"/>
      <c r="H614" s="71"/>
      <c r="L614" s="71"/>
      <c r="M614" s="71"/>
    </row>
    <row r="615">
      <c r="B615" s="97"/>
      <c r="C615" s="43"/>
      <c r="G615" s="71"/>
      <c r="H615" s="71"/>
      <c r="L615" s="71"/>
      <c r="M615" s="71"/>
    </row>
    <row r="616">
      <c r="B616" s="97"/>
      <c r="C616" s="43"/>
      <c r="G616" s="71"/>
      <c r="H616" s="71"/>
      <c r="L616" s="71"/>
      <c r="M616" s="71"/>
    </row>
    <row r="617">
      <c r="B617" s="97"/>
      <c r="C617" s="43"/>
      <c r="G617" s="71"/>
      <c r="H617" s="71"/>
      <c r="L617" s="71"/>
      <c r="M617" s="71"/>
    </row>
    <row r="618">
      <c r="B618" s="97"/>
      <c r="C618" s="43"/>
      <c r="G618" s="71"/>
      <c r="H618" s="71"/>
      <c r="L618" s="71"/>
      <c r="M618" s="71"/>
    </row>
    <row r="619">
      <c r="B619" s="97"/>
      <c r="C619" s="43"/>
      <c r="G619" s="71"/>
      <c r="H619" s="71"/>
      <c r="L619" s="71"/>
      <c r="M619" s="71"/>
    </row>
    <row r="620">
      <c r="B620" s="97"/>
      <c r="C620" s="43"/>
      <c r="G620" s="71"/>
      <c r="H620" s="71"/>
      <c r="L620" s="71"/>
      <c r="M620" s="71"/>
    </row>
    <row r="621">
      <c r="B621" s="97"/>
      <c r="C621" s="43"/>
      <c r="G621" s="71"/>
      <c r="H621" s="71"/>
      <c r="L621" s="71"/>
      <c r="M621" s="71"/>
    </row>
    <row r="622">
      <c r="B622" s="97"/>
      <c r="C622" s="43"/>
      <c r="G622" s="71"/>
      <c r="H622" s="71"/>
      <c r="L622" s="71"/>
      <c r="M622" s="71"/>
    </row>
    <row r="623">
      <c r="B623" s="97"/>
      <c r="C623" s="43"/>
      <c r="G623" s="71"/>
      <c r="H623" s="71"/>
      <c r="L623" s="71"/>
      <c r="M623" s="71"/>
    </row>
    <row r="624">
      <c r="B624" s="97"/>
      <c r="C624" s="43"/>
      <c r="G624" s="71"/>
      <c r="H624" s="71"/>
      <c r="L624" s="71"/>
      <c r="M624" s="71"/>
    </row>
    <row r="625">
      <c r="B625" s="97"/>
      <c r="C625" s="43"/>
      <c r="G625" s="71"/>
      <c r="H625" s="71"/>
      <c r="L625" s="71"/>
      <c r="M625" s="71"/>
    </row>
    <row r="626">
      <c r="B626" s="97"/>
      <c r="C626" s="43"/>
      <c r="G626" s="71"/>
      <c r="H626" s="71"/>
      <c r="L626" s="71"/>
      <c r="M626" s="71"/>
    </row>
    <row r="627">
      <c r="B627" s="97"/>
      <c r="C627" s="43"/>
      <c r="G627" s="71"/>
      <c r="H627" s="71"/>
      <c r="L627" s="71"/>
      <c r="M627" s="71"/>
    </row>
    <row r="628">
      <c r="B628" s="97"/>
      <c r="C628" s="43"/>
      <c r="G628" s="71"/>
      <c r="H628" s="71"/>
      <c r="L628" s="71"/>
      <c r="M628" s="71"/>
    </row>
    <row r="629">
      <c r="B629" s="97"/>
      <c r="C629" s="43"/>
      <c r="G629" s="71"/>
      <c r="H629" s="71"/>
      <c r="L629" s="71"/>
      <c r="M629" s="71"/>
    </row>
    <row r="630">
      <c r="B630" s="97"/>
      <c r="C630" s="43"/>
      <c r="G630" s="71"/>
      <c r="H630" s="71"/>
      <c r="L630" s="71"/>
      <c r="M630" s="71"/>
    </row>
    <row r="631">
      <c r="B631" s="97"/>
      <c r="C631" s="43"/>
      <c r="G631" s="71"/>
      <c r="H631" s="71"/>
      <c r="L631" s="71"/>
      <c r="M631" s="71"/>
    </row>
    <row r="632">
      <c r="B632" s="97"/>
      <c r="C632" s="43"/>
      <c r="G632" s="71"/>
      <c r="H632" s="71"/>
      <c r="L632" s="71"/>
      <c r="M632" s="71"/>
    </row>
    <row r="633">
      <c r="B633" s="97"/>
      <c r="C633" s="43"/>
      <c r="G633" s="71"/>
      <c r="H633" s="71"/>
      <c r="L633" s="71"/>
      <c r="M633" s="71"/>
    </row>
    <row r="634">
      <c r="B634" s="97"/>
      <c r="C634" s="43"/>
      <c r="G634" s="71"/>
      <c r="H634" s="71"/>
      <c r="L634" s="71"/>
      <c r="M634" s="71"/>
    </row>
    <row r="635">
      <c r="B635" s="97"/>
      <c r="C635" s="43"/>
      <c r="G635" s="71"/>
      <c r="H635" s="71"/>
      <c r="L635" s="71"/>
      <c r="M635" s="71"/>
    </row>
    <row r="636">
      <c r="B636" s="97"/>
      <c r="C636" s="43"/>
      <c r="G636" s="71"/>
      <c r="H636" s="71"/>
      <c r="L636" s="71"/>
      <c r="M636" s="71"/>
    </row>
    <row r="637">
      <c r="B637" s="97"/>
      <c r="C637" s="43"/>
      <c r="G637" s="71"/>
      <c r="H637" s="71"/>
      <c r="L637" s="71"/>
      <c r="M637" s="71"/>
    </row>
    <row r="638">
      <c r="B638" s="97"/>
      <c r="C638" s="43"/>
      <c r="G638" s="71"/>
      <c r="H638" s="71"/>
      <c r="L638" s="71"/>
      <c r="M638" s="71"/>
    </row>
    <row r="639">
      <c r="B639" s="97"/>
      <c r="C639" s="43"/>
      <c r="G639" s="71"/>
      <c r="H639" s="71"/>
      <c r="L639" s="71"/>
      <c r="M639" s="71"/>
    </row>
    <row r="640">
      <c r="B640" s="97"/>
      <c r="C640" s="43"/>
      <c r="G640" s="71"/>
      <c r="H640" s="71"/>
      <c r="L640" s="71"/>
      <c r="M640" s="71"/>
    </row>
    <row r="641">
      <c r="B641" s="97"/>
      <c r="C641" s="43"/>
      <c r="G641" s="71"/>
      <c r="H641" s="71"/>
      <c r="L641" s="71"/>
      <c r="M641" s="71"/>
    </row>
    <row r="642">
      <c r="B642" s="97"/>
      <c r="C642" s="43"/>
      <c r="G642" s="71"/>
      <c r="H642" s="71"/>
      <c r="L642" s="71"/>
      <c r="M642" s="71"/>
    </row>
    <row r="643">
      <c r="B643" s="97"/>
      <c r="C643" s="43"/>
      <c r="G643" s="71"/>
      <c r="H643" s="71"/>
      <c r="L643" s="71"/>
      <c r="M643" s="71"/>
    </row>
    <row r="644">
      <c r="B644" s="97"/>
      <c r="C644" s="43"/>
      <c r="G644" s="71"/>
      <c r="H644" s="71"/>
      <c r="L644" s="71"/>
      <c r="M644" s="71"/>
    </row>
    <row r="645">
      <c r="B645" s="97"/>
      <c r="C645" s="43"/>
      <c r="G645" s="71"/>
      <c r="H645" s="71"/>
      <c r="L645" s="71"/>
      <c r="M645" s="71"/>
    </row>
    <row r="646">
      <c r="B646" s="97"/>
      <c r="C646" s="43"/>
      <c r="G646" s="71"/>
      <c r="H646" s="71"/>
      <c r="L646" s="71"/>
      <c r="M646" s="71"/>
    </row>
    <row r="647">
      <c r="B647" s="97"/>
      <c r="C647" s="43"/>
      <c r="G647" s="71"/>
      <c r="H647" s="71"/>
      <c r="L647" s="71"/>
      <c r="M647" s="71"/>
    </row>
    <row r="648">
      <c r="B648" s="97"/>
      <c r="C648" s="43"/>
      <c r="G648" s="71"/>
      <c r="H648" s="71"/>
      <c r="L648" s="71"/>
      <c r="M648" s="71"/>
    </row>
    <row r="649">
      <c r="B649" s="97"/>
      <c r="C649" s="43"/>
      <c r="G649" s="71"/>
      <c r="H649" s="71"/>
      <c r="L649" s="71"/>
      <c r="M649" s="71"/>
    </row>
    <row r="650">
      <c r="B650" s="97"/>
      <c r="C650" s="43"/>
      <c r="G650" s="71"/>
      <c r="H650" s="71"/>
      <c r="L650" s="71"/>
      <c r="M650" s="71"/>
    </row>
    <row r="651">
      <c r="B651" s="97"/>
      <c r="C651" s="43"/>
      <c r="G651" s="71"/>
      <c r="H651" s="71"/>
      <c r="L651" s="71"/>
      <c r="M651" s="71"/>
    </row>
    <row r="652">
      <c r="B652" s="97"/>
      <c r="C652" s="43"/>
      <c r="G652" s="71"/>
      <c r="H652" s="71"/>
      <c r="L652" s="71"/>
      <c r="M652" s="71"/>
    </row>
    <row r="653">
      <c r="B653" s="97"/>
      <c r="C653" s="43"/>
      <c r="G653" s="71"/>
      <c r="H653" s="71"/>
      <c r="L653" s="71"/>
      <c r="M653" s="71"/>
    </row>
    <row r="654">
      <c r="B654" s="97"/>
      <c r="C654" s="43"/>
      <c r="G654" s="71"/>
      <c r="H654" s="71"/>
      <c r="L654" s="71"/>
      <c r="M654" s="71"/>
    </row>
    <row r="655">
      <c r="B655" s="97"/>
      <c r="C655" s="43"/>
      <c r="G655" s="71"/>
      <c r="H655" s="71"/>
      <c r="L655" s="71"/>
      <c r="M655" s="71"/>
    </row>
    <row r="656">
      <c r="B656" s="97"/>
      <c r="C656" s="43"/>
      <c r="G656" s="71"/>
      <c r="H656" s="71"/>
      <c r="L656" s="71"/>
      <c r="M656" s="71"/>
    </row>
    <row r="657">
      <c r="B657" s="97"/>
      <c r="C657" s="43"/>
      <c r="G657" s="71"/>
      <c r="H657" s="71"/>
      <c r="L657" s="71"/>
      <c r="M657" s="71"/>
    </row>
    <row r="658">
      <c r="B658" s="97"/>
      <c r="C658" s="43"/>
      <c r="G658" s="71"/>
      <c r="H658" s="71"/>
      <c r="L658" s="71"/>
      <c r="M658" s="71"/>
    </row>
    <row r="659">
      <c r="B659" s="97"/>
      <c r="C659" s="43"/>
      <c r="G659" s="71"/>
      <c r="H659" s="71"/>
      <c r="L659" s="71"/>
      <c r="M659" s="71"/>
    </row>
    <row r="660">
      <c r="B660" s="97"/>
      <c r="C660" s="43"/>
      <c r="G660" s="71"/>
      <c r="H660" s="71"/>
      <c r="L660" s="71"/>
      <c r="M660" s="71"/>
    </row>
    <row r="661">
      <c r="B661" s="97"/>
      <c r="C661" s="43"/>
      <c r="G661" s="71"/>
      <c r="H661" s="71"/>
      <c r="L661" s="71"/>
      <c r="M661" s="71"/>
    </row>
    <row r="662">
      <c r="B662" s="97"/>
      <c r="C662" s="43"/>
      <c r="G662" s="71"/>
      <c r="H662" s="71"/>
      <c r="L662" s="71"/>
      <c r="M662" s="71"/>
    </row>
    <row r="663">
      <c r="B663" s="97"/>
      <c r="C663" s="43"/>
      <c r="G663" s="71"/>
      <c r="H663" s="71"/>
      <c r="L663" s="71"/>
      <c r="M663" s="71"/>
    </row>
    <row r="664">
      <c r="B664" s="97"/>
      <c r="C664" s="43"/>
      <c r="G664" s="71"/>
      <c r="H664" s="71"/>
      <c r="L664" s="71"/>
      <c r="M664" s="71"/>
    </row>
    <row r="665">
      <c r="B665" s="97"/>
      <c r="C665" s="43"/>
      <c r="G665" s="71"/>
      <c r="H665" s="71"/>
      <c r="L665" s="71"/>
      <c r="M665" s="71"/>
    </row>
    <row r="666">
      <c r="B666" s="97"/>
      <c r="C666" s="43"/>
      <c r="G666" s="71"/>
      <c r="H666" s="71"/>
      <c r="L666" s="71"/>
      <c r="M666" s="71"/>
    </row>
    <row r="667">
      <c r="B667" s="97"/>
      <c r="C667" s="43"/>
      <c r="G667" s="71"/>
      <c r="H667" s="71"/>
      <c r="L667" s="71"/>
      <c r="M667" s="71"/>
    </row>
    <row r="668">
      <c r="B668" s="97"/>
      <c r="C668" s="43"/>
      <c r="G668" s="71"/>
      <c r="H668" s="71"/>
      <c r="L668" s="71"/>
      <c r="M668" s="71"/>
    </row>
    <row r="669">
      <c r="B669" s="97"/>
      <c r="C669" s="43"/>
      <c r="G669" s="71"/>
      <c r="H669" s="71"/>
      <c r="L669" s="71"/>
      <c r="M669" s="71"/>
    </row>
    <row r="670">
      <c r="B670" s="97"/>
      <c r="C670" s="43"/>
      <c r="G670" s="71"/>
      <c r="H670" s="71"/>
      <c r="L670" s="71"/>
      <c r="M670" s="71"/>
    </row>
    <row r="671">
      <c r="B671" s="97"/>
      <c r="C671" s="43"/>
      <c r="G671" s="71"/>
      <c r="H671" s="71"/>
      <c r="L671" s="71"/>
      <c r="M671" s="71"/>
    </row>
    <row r="672">
      <c r="B672" s="97"/>
      <c r="C672" s="43"/>
      <c r="G672" s="71"/>
      <c r="H672" s="71"/>
      <c r="L672" s="71"/>
      <c r="M672" s="71"/>
    </row>
    <row r="673">
      <c r="B673" s="97"/>
      <c r="C673" s="43"/>
      <c r="G673" s="71"/>
      <c r="H673" s="71"/>
      <c r="L673" s="71"/>
      <c r="M673" s="71"/>
    </row>
    <row r="674">
      <c r="B674" s="97"/>
      <c r="C674" s="43"/>
      <c r="G674" s="71"/>
      <c r="H674" s="71"/>
      <c r="L674" s="71"/>
      <c r="M674" s="71"/>
    </row>
    <row r="675">
      <c r="B675" s="97"/>
      <c r="C675" s="43"/>
      <c r="G675" s="71"/>
      <c r="H675" s="71"/>
      <c r="L675" s="71"/>
      <c r="M675" s="71"/>
    </row>
    <row r="676">
      <c r="B676" s="97"/>
      <c r="C676" s="43"/>
      <c r="G676" s="71"/>
      <c r="H676" s="71"/>
      <c r="L676" s="71"/>
      <c r="M676" s="71"/>
    </row>
    <row r="677">
      <c r="B677" s="97"/>
      <c r="C677" s="43"/>
      <c r="G677" s="71"/>
      <c r="H677" s="71"/>
      <c r="L677" s="71"/>
      <c r="M677" s="71"/>
    </row>
    <row r="678">
      <c r="B678" s="97"/>
      <c r="C678" s="43"/>
      <c r="G678" s="71"/>
      <c r="H678" s="71"/>
      <c r="L678" s="71"/>
      <c r="M678" s="71"/>
    </row>
    <row r="679">
      <c r="B679" s="97"/>
      <c r="C679" s="43"/>
      <c r="G679" s="71"/>
      <c r="H679" s="71"/>
      <c r="L679" s="71"/>
      <c r="M679" s="71"/>
    </row>
    <row r="680">
      <c r="B680" s="97"/>
      <c r="C680" s="43"/>
      <c r="G680" s="71"/>
      <c r="H680" s="71"/>
      <c r="L680" s="71"/>
      <c r="M680" s="71"/>
    </row>
    <row r="681">
      <c r="B681" s="97"/>
      <c r="C681" s="43"/>
      <c r="G681" s="71"/>
      <c r="H681" s="71"/>
      <c r="L681" s="71"/>
      <c r="M681" s="71"/>
    </row>
    <row r="682">
      <c r="B682" s="97"/>
      <c r="C682" s="43"/>
      <c r="G682" s="71"/>
      <c r="H682" s="71"/>
      <c r="L682" s="71"/>
      <c r="M682" s="71"/>
    </row>
    <row r="683">
      <c r="B683" s="97"/>
      <c r="C683" s="43"/>
      <c r="G683" s="71"/>
      <c r="H683" s="71"/>
      <c r="L683" s="71"/>
      <c r="M683" s="71"/>
    </row>
    <row r="684">
      <c r="B684" s="97"/>
      <c r="C684" s="43"/>
      <c r="G684" s="71"/>
      <c r="H684" s="71"/>
      <c r="L684" s="71"/>
      <c r="M684" s="71"/>
    </row>
    <row r="685">
      <c r="B685" s="97"/>
      <c r="C685" s="43"/>
      <c r="G685" s="71"/>
      <c r="H685" s="71"/>
      <c r="L685" s="71"/>
      <c r="M685" s="71"/>
    </row>
    <row r="686">
      <c r="B686" s="97"/>
      <c r="C686" s="43"/>
      <c r="G686" s="71"/>
      <c r="H686" s="71"/>
      <c r="L686" s="71"/>
      <c r="M686" s="71"/>
    </row>
    <row r="687">
      <c r="B687" s="97"/>
      <c r="C687" s="43"/>
      <c r="G687" s="71"/>
      <c r="H687" s="71"/>
      <c r="L687" s="71"/>
      <c r="M687" s="71"/>
    </row>
    <row r="688">
      <c r="B688" s="97"/>
      <c r="C688" s="43"/>
      <c r="G688" s="71"/>
      <c r="H688" s="71"/>
      <c r="L688" s="71"/>
      <c r="M688" s="71"/>
    </row>
    <row r="689">
      <c r="B689" s="97"/>
      <c r="C689" s="43"/>
      <c r="G689" s="71"/>
      <c r="H689" s="71"/>
      <c r="L689" s="71"/>
      <c r="M689" s="71"/>
    </row>
    <row r="690">
      <c r="B690" s="97"/>
      <c r="C690" s="43"/>
      <c r="G690" s="71"/>
      <c r="H690" s="71"/>
      <c r="L690" s="71"/>
      <c r="M690" s="71"/>
    </row>
    <row r="691">
      <c r="B691" s="97"/>
      <c r="C691" s="43"/>
      <c r="G691" s="71"/>
      <c r="H691" s="71"/>
      <c r="L691" s="71"/>
      <c r="M691" s="71"/>
    </row>
    <row r="692">
      <c r="B692" s="97"/>
      <c r="C692" s="43"/>
      <c r="G692" s="71"/>
      <c r="H692" s="71"/>
      <c r="L692" s="71"/>
      <c r="M692" s="71"/>
    </row>
    <row r="693">
      <c r="B693" s="97"/>
      <c r="C693" s="43"/>
      <c r="G693" s="71"/>
      <c r="H693" s="71"/>
      <c r="L693" s="71"/>
      <c r="M693" s="71"/>
    </row>
    <row r="694">
      <c r="B694" s="97"/>
      <c r="C694" s="43"/>
      <c r="G694" s="71"/>
      <c r="H694" s="71"/>
      <c r="L694" s="71"/>
      <c r="M694" s="71"/>
    </row>
    <row r="695">
      <c r="B695" s="97"/>
      <c r="C695" s="43"/>
      <c r="G695" s="71"/>
      <c r="H695" s="71"/>
      <c r="L695" s="71"/>
      <c r="M695" s="71"/>
    </row>
    <row r="696">
      <c r="B696" s="97"/>
      <c r="C696" s="43"/>
      <c r="G696" s="71"/>
      <c r="H696" s="71"/>
      <c r="L696" s="71"/>
      <c r="M696" s="71"/>
    </row>
    <row r="697">
      <c r="B697" s="97"/>
      <c r="C697" s="43"/>
      <c r="G697" s="71"/>
      <c r="H697" s="71"/>
      <c r="L697" s="71"/>
      <c r="M697" s="71"/>
    </row>
    <row r="698">
      <c r="B698" s="97"/>
      <c r="C698" s="43"/>
      <c r="G698" s="71"/>
      <c r="H698" s="71"/>
      <c r="L698" s="71"/>
      <c r="M698" s="71"/>
    </row>
    <row r="699">
      <c r="B699" s="97"/>
      <c r="C699" s="43"/>
      <c r="G699" s="71"/>
      <c r="H699" s="71"/>
      <c r="L699" s="71"/>
      <c r="M699" s="71"/>
    </row>
    <row r="700">
      <c r="B700" s="97"/>
      <c r="C700" s="43"/>
      <c r="G700" s="71"/>
      <c r="H700" s="71"/>
      <c r="L700" s="71"/>
      <c r="M700" s="71"/>
    </row>
    <row r="701">
      <c r="B701" s="97"/>
      <c r="C701" s="43"/>
      <c r="G701" s="71"/>
      <c r="H701" s="71"/>
      <c r="L701" s="71"/>
      <c r="M701" s="71"/>
    </row>
    <row r="702">
      <c r="B702" s="97"/>
      <c r="C702" s="43"/>
      <c r="G702" s="71"/>
      <c r="H702" s="71"/>
      <c r="L702" s="71"/>
      <c r="M702" s="71"/>
    </row>
    <row r="703">
      <c r="B703" s="97"/>
      <c r="C703" s="43"/>
      <c r="G703" s="71"/>
      <c r="H703" s="71"/>
      <c r="L703" s="71"/>
      <c r="M703" s="71"/>
    </row>
    <row r="704">
      <c r="B704" s="97"/>
      <c r="C704" s="43"/>
      <c r="G704" s="71"/>
      <c r="H704" s="71"/>
      <c r="L704" s="71"/>
      <c r="M704" s="71"/>
    </row>
    <row r="705">
      <c r="B705" s="97"/>
      <c r="C705" s="43"/>
      <c r="G705" s="71"/>
      <c r="H705" s="71"/>
      <c r="L705" s="71"/>
      <c r="M705" s="71"/>
    </row>
    <row r="706">
      <c r="B706" s="97"/>
      <c r="C706" s="43"/>
      <c r="G706" s="71"/>
      <c r="H706" s="71"/>
      <c r="L706" s="71"/>
      <c r="M706" s="71"/>
    </row>
    <row r="707">
      <c r="B707" s="97"/>
      <c r="C707" s="43"/>
      <c r="G707" s="71"/>
      <c r="H707" s="71"/>
      <c r="L707" s="71"/>
      <c r="M707" s="71"/>
    </row>
    <row r="708">
      <c r="B708" s="97"/>
      <c r="C708" s="43"/>
      <c r="G708" s="71"/>
      <c r="H708" s="71"/>
      <c r="L708" s="71"/>
      <c r="M708" s="71"/>
    </row>
    <row r="709">
      <c r="B709" s="97"/>
      <c r="C709" s="43"/>
      <c r="G709" s="71"/>
      <c r="H709" s="71"/>
      <c r="L709" s="71"/>
      <c r="M709" s="71"/>
    </row>
    <row r="710">
      <c r="B710" s="97"/>
      <c r="C710" s="43"/>
      <c r="G710" s="71"/>
      <c r="H710" s="71"/>
      <c r="L710" s="71"/>
      <c r="M710" s="71"/>
    </row>
    <row r="711">
      <c r="B711" s="97"/>
      <c r="C711" s="43"/>
      <c r="G711" s="71"/>
      <c r="H711" s="71"/>
      <c r="L711" s="71"/>
      <c r="M711" s="71"/>
    </row>
    <row r="712">
      <c r="B712" s="97"/>
      <c r="C712" s="43"/>
      <c r="G712" s="71"/>
      <c r="H712" s="71"/>
      <c r="L712" s="71"/>
      <c r="M712" s="71"/>
    </row>
    <row r="713">
      <c r="B713" s="97"/>
      <c r="C713" s="43"/>
      <c r="G713" s="71"/>
      <c r="H713" s="71"/>
      <c r="L713" s="71"/>
      <c r="M713" s="71"/>
    </row>
    <row r="714">
      <c r="B714" s="97"/>
      <c r="C714" s="43"/>
      <c r="G714" s="71"/>
      <c r="H714" s="71"/>
      <c r="L714" s="71"/>
      <c r="M714" s="71"/>
    </row>
    <row r="715">
      <c r="B715" s="97"/>
      <c r="C715" s="43"/>
      <c r="G715" s="71"/>
      <c r="H715" s="71"/>
      <c r="L715" s="71"/>
      <c r="M715" s="71"/>
    </row>
    <row r="716">
      <c r="B716" s="97"/>
      <c r="C716" s="43"/>
      <c r="G716" s="71"/>
      <c r="H716" s="71"/>
      <c r="L716" s="71"/>
      <c r="M716" s="71"/>
    </row>
    <row r="717">
      <c r="B717" s="97"/>
      <c r="C717" s="43"/>
      <c r="G717" s="71"/>
      <c r="H717" s="71"/>
      <c r="L717" s="71"/>
      <c r="M717" s="71"/>
    </row>
    <row r="718">
      <c r="B718" s="97"/>
      <c r="C718" s="43"/>
      <c r="G718" s="71"/>
      <c r="H718" s="71"/>
      <c r="L718" s="71"/>
      <c r="M718" s="71"/>
    </row>
    <row r="719">
      <c r="B719" s="97"/>
      <c r="C719" s="43"/>
      <c r="G719" s="71"/>
      <c r="H719" s="71"/>
      <c r="L719" s="71"/>
      <c r="M719" s="71"/>
    </row>
    <row r="720">
      <c r="B720" s="97"/>
      <c r="C720" s="43"/>
      <c r="G720" s="71"/>
      <c r="H720" s="71"/>
      <c r="L720" s="71"/>
      <c r="M720" s="71"/>
    </row>
    <row r="721">
      <c r="B721" s="97"/>
      <c r="C721" s="43"/>
      <c r="G721" s="71"/>
      <c r="H721" s="71"/>
      <c r="L721" s="71"/>
      <c r="M721" s="71"/>
    </row>
    <row r="722">
      <c r="B722" s="97"/>
      <c r="C722" s="43"/>
      <c r="G722" s="71"/>
      <c r="H722" s="71"/>
      <c r="L722" s="71"/>
      <c r="M722" s="71"/>
    </row>
    <row r="723">
      <c r="B723" s="97"/>
      <c r="C723" s="43"/>
      <c r="G723" s="71"/>
      <c r="H723" s="71"/>
      <c r="L723" s="71"/>
      <c r="M723" s="71"/>
    </row>
    <row r="724">
      <c r="B724" s="97"/>
      <c r="C724" s="43"/>
      <c r="G724" s="71"/>
      <c r="H724" s="71"/>
      <c r="L724" s="71"/>
      <c r="M724" s="71"/>
    </row>
    <row r="725">
      <c r="B725" s="97"/>
      <c r="C725" s="43"/>
      <c r="G725" s="71"/>
      <c r="H725" s="71"/>
      <c r="L725" s="71"/>
      <c r="M725" s="71"/>
    </row>
    <row r="726">
      <c r="B726" s="97"/>
      <c r="C726" s="43"/>
      <c r="G726" s="71"/>
      <c r="H726" s="71"/>
      <c r="L726" s="71"/>
      <c r="M726" s="71"/>
    </row>
    <row r="727">
      <c r="B727" s="97"/>
      <c r="C727" s="43"/>
      <c r="G727" s="71"/>
      <c r="H727" s="71"/>
      <c r="L727" s="71"/>
      <c r="M727" s="71"/>
    </row>
    <row r="728">
      <c r="B728" s="97"/>
      <c r="C728" s="43"/>
      <c r="G728" s="71"/>
      <c r="H728" s="71"/>
      <c r="L728" s="71"/>
      <c r="M728" s="71"/>
    </row>
    <row r="729">
      <c r="B729" s="97"/>
      <c r="C729" s="43"/>
      <c r="G729" s="71"/>
      <c r="H729" s="71"/>
      <c r="L729" s="71"/>
      <c r="M729" s="71"/>
    </row>
    <row r="730">
      <c r="B730" s="97"/>
      <c r="C730" s="43"/>
      <c r="G730" s="71"/>
      <c r="H730" s="71"/>
      <c r="L730" s="71"/>
      <c r="M730" s="71"/>
    </row>
    <row r="731">
      <c r="B731" s="97"/>
      <c r="C731" s="43"/>
      <c r="G731" s="71"/>
      <c r="H731" s="71"/>
      <c r="L731" s="71"/>
      <c r="M731" s="71"/>
    </row>
    <row r="732">
      <c r="B732" s="97"/>
      <c r="C732" s="43"/>
      <c r="G732" s="71"/>
      <c r="H732" s="71"/>
      <c r="L732" s="71"/>
      <c r="M732" s="71"/>
    </row>
    <row r="733">
      <c r="B733" s="97"/>
      <c r="C733" s="43"/>
      <c r="G733" s="71"/>
      <c r="H733" s="71"/>
      <c r="L733" s="71"/>
      <c r="M733" s="71"/>
    </row>
    <row r="734">
      <c r="B734" s="97"/>
      <c r="C734" s="43"/>
      <c r="G734" s="71"/>
      <c r="H734" s="71"/>
      <c r="L734" s="71"/>
      <c r="M734" s="71"/>
    </row>
    <row r="735">
      <c r="B735" s="97"/>
      <c r="C735" s="43"/>
      <c r="G735" s="71"/>
      <c r="H735" s="71"/>
      <c r="L735" s="71"/>
      <c r="M735" s="71"/>
    </row>
    <row r="736">
      <c r="B736" s="97"/>
      <c r="C736" s="43"/>
      <c r="G736" s="71"/>
      <c r="H736" s="71"/>
      <c r="L736" s="71"/>
      <c r="M736" s="71"/>
    </row>
    <row r="737">
      <c r="B737" s="97"/>
      <c r="C737" s="43"/>
      <c r="G737" s="71"/>
      <c r="H737" s="71"/>
      <c r="L737" s="71"/>
      <c r="M737" s="71"/>
    </row>
    <row r="738">
      <c r="B738" s="97"/>
      <c r="C738" s="43"/>
      <c r="G738" s="71"/>
      <c r="H738" s="71"/>
      <c r="L738" s="71"/>
      <c r="M738" s="71"/>
    </row>
    <row r="739">
      <c r="B739" s="97"/>
      <c r="C739" s="43"/>
      <c r="G739" s="71"/>
      <c r="H739" s="71"/>
      <c r="L739" s="71"/>
      <c r="M739" s="71"/>
    </row>
    <row r="740">
      <c r="B740" s="97"/>
      <c r="C740" s="43"/>
      <c r="G740" s="71"/>
      <c r="H740" s="71"/>
      <c r="L740" s="71"/>
      <c r="M740" s="71"/>
    </row>
    <row r="741">
      <c r="B741" s="97"/>
      <c r="C741" s="43"/>
      <c r="G741" s="71"/>
      <c r="H741" s="71"/>
      <c r="L741" s="71"/>
      <c r="M741" s="71"/>
    </row>
    <row r="742">
      <c r="B742" s="97"/>
      <c r="C742" s="43"/>
      <c r="G742" s="71"/>
      <c r="H742" s="71"/>
      <c r="L742" s="71"/>
      <c r="M742" s="71"/>
    </row>
    <row r="743">
      <c r="B743" s="97"/>
      <c r="C743" s="43"/>
      <c r="G743" s="71"/>
      <c r="H743" s="71"/>
      <c r="L743" s="71"/>
      <c r="M743" s="71"/>
    </row>
    <row r="744">
      <c r="B744" s="97"/>
      <c r="C744" s="43"/>
      <c r="G744" s="71"/>
      <c r="H744" s="71"/>
      <c r="L744" s="71"/>
      <c r="M744" s="71"/>
    </row>
    <row r="745">
      <c r="B745" s="97"/>
      <c r="C745" s="43"/>
      <c r="G745" s="71"/>
      <c r="H745" s="71"/>
      <c r="L745" s="71"/>
      <c r="M745" s="71"/>
    </row>
    <row r="746">
      <c r="B746" s="97"/>
      <c r="C746" s="43"/>
      <c r="G746" s="71"/>
      <c r="H746" s="71"/>
      <c r="L746" s="71"/>
      <c r="M746" s="71"/>
    </row>
    <row r="747">
      <c r="B747" s="97"/>
      <c r="C747" s="43"/>
      <c r="G747" s="71"/>
      <c r="H747" s="71"/>
      <c r="L747" s="71"/>
      <c r="M747" s="71"/>
    </row>
    <row r="748">
      <c r="B748" s="97"/>
      <c r="C748" s="43"/>
      <c r="G748" s="71"/>
      <c r="H748" s="71"/>
      <c r="L748" s="71"/>
      <c r="M748" s="71"/>
    </row>
    <row r="749">
      <c r="B749" s="97"/>
      <c r="C749" s="43"/>
      <c r="G749" s="71"/>
      <c r="H749" s="71"/>
      <c r="L749" s="71"/>
      <c r="M749" s="71"/>
    </row>
    <row r="750">
      <c r="B750" s="97"/>
      <c r="C750" s="43"/>
      <c r="G750" s="71"/>
      <c r="H750" s="71"/>
      <c r="L750" s="71"/>
      <c r="M750" s="71"/>
    </row>
    <row r="751">
      <c r="B751" s="97"/>
      <c r="C751" s="43"/>
      <c r="G751" s="71"/>
      <c r="H751" s="71"/>
      <c r="L751" s="71"/>
      <c r="M751" s="71"/>
    </row>
    <row r="752">
      <c r="B752" s="97"/>
      <c r="C752" s="43"/>
      <c r="G752" s="71"/>
      <c r="H752" s="71"/>
      <c r="L752" s="71"/>
      <c r="M752" s="71"/>
    </row>
    <row r="753">
      <c r="B753" s="97"/>
      <c r="C753" s="43"/>
      <c r="G753" s="71"/>
      <c r="H753" s="71"/>
      <c r="L753" s="71"/>
      <c r="M753" s="71"/>
    </row>
    <row r="754">
      <c r="B754" s="97"/>
      <c r="C754" s="43"/>
      <c r="G754" s="71"/>
      <c r="H754" s="71"/>
      <c r="L754" s="71"/>
      <c r="M754" s="71"/>
    </row>
    <row r="755">
      <c r="B755" s="97"/>
      <c r="C755" s="43"/>
      <c r="G755" s="71"/>
      <c r="H755" s="71"/>
      <c r="L755" s="71"/>
      <c r="M755" s="71"/>
    </row>
    <row r="756">
      <c r="B756" s="97"/>
      <c r="C756" s="43"/>
      <c r="G756" s="71"/>
      <c r="H756" s="71"/>
      <c r="L756" s="71"/>
      <c r="M756" s="71"/>
    </row>
    <row r="757">
      <c r="B757" s="97"/>
      <c r="C757" s="43"/>
      <c r="G757" s="71"/>
      <c r="H757" s="71"/>
      <c r="L757" s="71"/>
      <c r="M757" s="71"/>
    </row>
    <row r="758">
      <c r="B758" s="97"/>
      <c r="C758" s="43"/>
      <c r="G758" s="71"/>
      <c r="H758" s="71"/>
      <c r="L758" s="71"/>
      <c r="M758" s="71"/>
    </row>
    <row r="759">
      <c r="B759" s="97"/>
      <c r="C759" s="43"/>
      <c r="G759" s="71"/>
      <c r="H759" s="71"/>
      <c r="L759" s="71"/>
      <c r="M759" s="71"/>
    </row>
    <row r="760">
      <c r="B760" s="97"/>
      <c r="C760" s="43"/>
      <c r="G760" s="71"/>
      <c r="H760" s="71"/>
      <c r="L760" s="71"/>
      <c r="M760" s="71"/>
    </row>
    <row r="761">
      <c r="B761" s="97"/>
      <c r="C761" s="43"/>
      <c r="G761" s="71"/>
      <c r="H761" s="71"/>
      <c r="L761" s="71"/>
      <c r="M761" s="71"/>
    </row>
    <row r="762">
      <c r="B762" s="97"/>
      <c r="C762" s="43"/>
      <c r="G762" s="71"/>
      <c r="H762" s="71"/>
      <c r="L762" s="71"/>
      <c r="M762" s="71"/>
    </row>
    <row r="763">
      <c r="B763" s="97"/>
      <c r="C763" s="43"/>
      <c r="G763" s="71"/>
      <c r="H763" s="71"/>
      <c r="L763" s="71"/>
      <c r="M763" s="71"/>
    </row>
    <row r="764">
      <c r="B764" s="97"/>
      <c r="C764" s="43"/>
      <c r="G764" s="71"/>
      <c r="H764" s="71"/>
      <c r="L764" s="71"/>
      <c r="M764" s="71"/>
    </row>
    <row r="765">
      <c r="B765" s="97"/>
      <c r="C765" s="43"/>
      <c r="G765" s="71"/>
      <c r="H765" s="71"/>
      <c r="L765" s="71"/>
      <c r="M765" s="71"/>
    </row>
    <row r="766">
      <c r="B766" s="97"/>
      <c r="C766" s="43"/>
      <c r="G766" s="71"/>
      <c r="H766" s="71"/>
      <c r="L766" s="71"/>
      <c r="M766" s="71"/>
    </row>
    <row r="767">
      <c r="B767" s="97"/>
      <c r="C767" s="43"/>
      <c r="G767" s="71"/>
      <c r="H767" s="71"/>
      <c r="L767" s="71"/>
      <c r="M767" s="71"/>
    </row>
    <row r="768">
      <c r="B768" s="97"/>
      <c r="C768" s="43"/>
      <c r="G768" s="71"/>
      <c r="H768" s="71"/>
      <c r="L768" s="71"/>
      <c r="M768" s="71"/>
    </row>
    <row r="769">
      <c r="B769" s="97"/>
      <c r="C769" s="43"/>
      <c r="G769" s="71"/>
      <c r="H769" s="71"/>
      <c r="L769" s="71"/>
      <c r="M769" s="71"/>
    </row>
    <row r="770">
      <c r="B770" s="97"/>
      <c r="C770" s="43"/>
      <c r="G770" s="71"/>
      <c r="H770" s="71"/>
      <c r="L770" s="71"/>
      <c r="M770" s="71"/>
    </row>
    <row r="771">
      <c r="B771" s="97"/>
      <c r="C771" s="43"/>
      <c r="G771" s="71"/>
      <c r="H771" s="71"/>
      <c r="L771" s="71"/>
      <c r="M771" s="71"/>
    </row>
    <row r="772">
      <c r="B772" s="97"/>
      <c r="C772" s="43"/>
      <c r="G772" s="71"/>
      <c r="H772" s="71"/>
      <c r="L772" s="71"/>
      <c r="M772" s="71"/>
    </row>
    <row r="773">
      <c r="B773" s="97"/>
      <c r="C773" s="43"/>
      <c r="G773" s="71"/>
      <c r="H773" s="71"/>
      <c r="L773" s="71"/>
      <c r="M773" s="71"/>
    </row>
    <row r="774">
      <c r="B774" s="97"/>
      <c r="C774" s="43"/>
      <c r="G774" s="71"/>
      <c r="H774" s="71"/>
      <c r="L774" s="71"/>
      <c r="M774" s="71"/>
    </row>
    <row r="775">
      <c r="B775" s="97"/>
      <c r="C775" s="43"/>
      <c r="G775" s="71"/>
      <c r="H775" s="71"/>
      <c r="L775" s="71"/>
      <c r="M775" s="71"/>
    </row>
    <row r="776">
      <c r="B776" s="97"/>
      <c r="C776" s="43"/>
      <c r="G776" s="71"/>
      <c r="H776" s="71"/>
      <c r="L776" s="71"/>
      <c r="M776" s="71"/>
    </row>
    <row r="777">
      <c r="B777" s="97"/>
      <c r="C777" s="43"/>
      <c r="G777" s="71"/>
      <c r="H777" s="71"/>
      <c r="L777" s="71"/>
      <c r="M777" s="71"/>
    </row>
    <row r="778">
      <c r="B778" s="97"/>
      <c r="C778" s="43"/>
      <c r="G778" s="71"/>
      <c r="H778" s="71"/>
      <c r="L778" s="71"/>
      <c r="M778" s="71"/>
    </row>
    <row r="779">
      <c r="B779" s="97"/>
      <c r="C779" s="43"/>
      <c r="G779" s="71"/>
      <c r="H779" s="71"/>
      <c r="L779" s="71"/>
      <c r="M779" s="71"/>
    </row>
    <row r="780">
      <c r="B780" s="97"/>
      <c r="C780" s="43"/>
      <c r="G780" s="71"/>
      <c r="H780" s="71"/>
      <c r="L780" s="71"/>
      <c r="M780" s="71"/>
    </row>
    <row r="781">
      <c r="B781" s="97"/>
      <c r="C781" s="43"/>
      <c r="G781" s="71"/>
      <c r="H781" s="71"/>
      <c r="L781" s="71"/>
      <c r="M781" s="71"/>
    </row>
    <row r="782">
      <c r="B782" s="97"/>
      <c r="C782" s="43"/>
      <c r="G782" s="71"/>
      <c r="H782" s="71"/>
      <c r="L782" s="71"/>
      <c r="M782" s="71"/>
    </row>
    <row r="783">
      <c r="B783" s="97"/>
      <c r="C783" s="43"/>
      <c r="G783" s="71"/>
      <c r="H783" s="71"/>
      <c r="L783" s="71"/>
      <c r="M783" s="71"/>
    </row>
    <row r="784">
      <c r="B784" s="97"/>
      <c r="C784" s="43"/>
      <c r="G784" s="71"/>
      <c r="H784" s="71"/>
      <c r="L784" s="71"/>
      <c r="M784" s="71"/>
    </row>
    <row r="785">
      <c r="B785" s="97"/>
      <c r="C785" s="43"/>
      <c r="G785" s="71"/>
      <c r="H785" s="71"/>
      <c r="L785" s="71"/>
      <c r="M785" s="71"/>
    </row>
    <row r="786">
      <c r="B786" s="97"/>
      <c r="C786" s="43"/>
      <c r="G786" s="71"/>
      <c r="H786" s="71"/>
      <c r="L786" s="71"/>
      <c r="M786" s="71"/>
    </row>
    <row r="787">
      <c r="B787" s="97"/>
      <c r="C787" s="43"/>
      <c r="G787" s="71"/>
      <c r="H787" s="71"/>
      <c r="L787" s="71"/>
      <c r="M787" s="71"/>
    </row>
    <row r="788">
      <c r="B788" s="97"/>
      <c r="C788" s="43"/>
      <c r="G788" s="71"/>
      <c r="H788" s="71"/>
      <c r="L788" s="71"/>
      <c r="M788" s="71"/>
    </row>
    <row r="789">
      <c r="B789" s="97"/>
      <c r="C789" s="43"/>
      <c r="G789" s="71"/>
      <c r="H789" s="71"/>
      <c r="L789" s="71"/>
      <c r="M789" s="71"/>
    </row>
    <row r="790">
      <c r="B790" s="97"/>
      <c r="C790" s="43"/>
      <c r="G790" s="71"/>
      <c r="H790" s="71"/>
      <c r="L790" s="71"/>
      <c r="M790" s="71"/>
    </row>
    <row r="791">
      <c r="B791" s="97"/>
      <c r="C791" s="43"/>
      <c r="G791" s="71"/>
      <c r="H791" s="71"/>
      <c r="L791" s="71"/>
      <c r="M791" s="71"/>
    </row>
    <row r="792">
      <c r="B792" s="97"/>
      <c r="C792" s="43"/>
      <c r="G792" s="71"/>
      <c r="H792" s="71"/>
      <c r="L792" s="71"/>
      <c r="M792" s="71"/>
    </row>
    <row r="793">
      <c r="B793" s="97"/>
      <c r="C793" s="43"/>
      <c r="G793" s="71"/>
      <c r="H793" s="71"/>
      <c r="L793" s="71"/>
      <c r="M793" s="71"/>
    </row>
    <row r="794">
      <c r="B794" s="97"/>
      <c r="C794" s="43"/>
      <c r="G794" s="71"/>
      <c r="H794" s="71"/>
      <c r="L794" s="71"/>
      <c r="M794" s="71"/>
    </row>
    <row r="795">
      <c r="B795" s="97"/>
      <c r="C795" s="43"/>
      <c r="G795" s="71"/>
      <c r="H795" s="71"/>
      <c r="L795" s="71"/>
      <c r="M795" s="71"/>
    </row>
    <row r="796">
      <c r="B796" s="97"/>
      <c r="C796" s="43"/>
      <c r="G796" s="71"/>
      <c r="H796" s="71"/>
      <c r="L796" s="71"/>
      <c r="M796" s="71"/>
    </row>
    <row r="797">
      <c r="B797" s="97"/>
      <c r="C797" s="43"/>
      <c r="G797" s="71"/>
      <c r="H797" s="71"/>
      <c r="L797" s="71"/>
      <c r="M797" s="71"/>
    </row>
    <row r="798">
      <c r="B798" s="97"/>
      <c r="C798" s="43"/>
      <c r="G798" s="71"/>
      <c r="H798" s="71"/>
      <c r="L798" s="71"/>
      <c r="M798" s="71"/>
    </row>
    <row r="799">
      <c r="B799" s="97"/>
      <c r="C799" s="43"/>
      <c r="G799" s="71"/>
      <c r="H799" s="71"/>
      <c r="L799" s="71"/>
      <c r="M799" s="71"/>
    </row>
    <row r="800">
      <c r="B800" s="97"/>
      <c r="C800" s="43"/>
      <c r="G800" s="71"/>
      <c r="H800" s="71"/>
      <c r="L800" s="71"/>
      <c r="M800" s="71"/>
    </row>
    <row r="801">
      <c r="B801" s="97"/>
      <c r="C801" s="43"/>
      <c r="G801" s="71"/>
      <c r="H801" s="71"/>
      <c r="L801" s="71"/>
      <c r="M801" s="71"/>
    </row>
    <row r="802">
      <c r="B802" s="97"/>
      <c r="C802" s="43"/>
      <c r="G802" s="71"/>
      <c r="H802" s="71"/>
      <c r="L802" s="71"/>
      <c r="M802" s="71"/>
    </row>
    <row r="803">
      <c r="B803" s="97"/>
      <c r="C803" s="43"/>
      <c r="G803" s="71"/>
      <c r="H803" s="71"/>
      <c r="L803" s="71"/>
      <c r="M803" s="71"/>
    </row>
    <row r="804">
      <c r="B804" s="97"/>
      <c r="C804" s="43"/>
      <c r="G804" s="71"/>
      <c r="H804" s="71"/>
      <c r="L804" s="71"/>
      <c r="M804" s="71"/>
    </row>
    <row r="805">
      <c r="B805" s="97"/>
      <c r="C805" s="43"/>
      <c r="G805" s="71"/>
      <c r="H805" s="71"/>
      <c r="L805" s="71"/>
      <c r="M805" s="71"/>
    </row>
    <row r="806">
      <c r="B806" s="97"/>
      <c r="C806" s="43"/>
      <c r="G806" s="71"/>
      <c r="H806" s="71"/>
      <c r="L806" s="71"/>
      <c r="M806" s="71"/>
    </row>
    <row r="807">
      <c r="B807" s="97"/>
      <c r="C807" s="43"/>
      <c r="G807" s="71"/>
      <c r="H807" s="71"/>
      <c r="L807" s="71"/>
      <c r="M807" s="71"/>
    </row>
    <row r="808">
      <c r="B808" s="97"/>
      <c r="C808" s="43"/>
      <c r="G808" s="71"/>
      <c r="H808" s="71"/>
      <c r="L808" s="71"/>
      <c r="M808" s="71"/>
    </row>
    <row r="809">
      <c r="B809" s="97"/>
      <c r="C809" s="43"/>
      <c r="G809" s="71"/>
      <c r="H809" s="71"/>
      <c r="L809" s="71"/>
      <c r="M809" s="71"/>
    </row>
    <row r="810">
      <c r="B810" s="97"/>
      <c r="C810" s="43"/>
      <c r="G810" s="71"/>
      <c r="H810" s="71"/>
      <c r="L810" s="71"/>
      <c r="M810" s="71"/>
    </row>
    <row r="811">
      <c r="B811" s="97"/>
      <c r="C811" s="43"/>
      <c r="G811" s="71"/>
      <c r="H811" s="71"/>
      <c r="L811" s="71"/>
      <c r="M811" s="71"/>
    </row>
    <row r="812">
      <c r="B812" s="97"/>
      <c r="C812" s="43"/>
      <c r="G812" s="71"/>
      <c r="H812" s="71"/>
      <c r="L812" s="71"/>
      <c r="M812" s="71"/>
    </row>
    <row r="813">
      <c r="B813" s="97"/>
      <c r="C813" s="43"/>
      <c r="G813" s="71"/>
      <c r="H813" s="71"/>
      <c r="L813" s="71"/>
      <c r="M813" s="71"/>
    </row>
    <row r="814">
      <c r="B814" s="97"/>
      <c r="C814" s="43"/>
      <c r="G814" s="71"/>
      <c r="H814" s="71"/>
      <c r="L814" s="71"/>
      <c r="M814" s="71"/>
    </row>
    <row r="815">
      <c r="B815" s="97"/>
      <c r="C815" s="43"/>
      <c r="G815" s="71"/>
      <c r="H815" s="71"/>
      <c r="L815" s="71"/>
      <c r="M815" s="71"/>
    </row>
    <row r="816">
      <c r="B816" s="97"/>
      <c r="C816" s="43"/>
      <c r="G816" s="71"/>
      <c r="H816" s="71"/>
      <c r="L816" s="71"/>
      <c r="M816" s="71"/>
    </row>
    <row r="817">
      <c r="B817" s="97"/>
      <c r="C817" s="43"/>
      <c r="G817" s="71"/>
      <c r="H817" s="71"/>
      <c r="L817" s="71"/>
      <c r="M817" s="71"/>
    </row>
    <row r="818">
      <c r="B818" s="97"/>
      <c r="C818" s="43"/>
      <c r="G818" s="71"/>
      <c r="H818" s="71"/>
      <c r="L818" s="71"/>
      <c r="M818" s="71"/>
    </row>
    <row r="819">
      <c r="B819" s="97"/>
      <c r="C819" s="43"/>
      <c r="G819" s="71"/>
      <c r="H819" s="71"/>
      <c r="L819" s="71"/>
      <c r="M819" s="71"/>
    </row>
    <row r="820">
      <c r="B820" s="97"/>
      <c r="C820" s="43"/>
      <c r="G820" s="71"/>
      <c r="H820" s="71"/>
      <c r="L820" s="71"/>
      <c r="M820" s="71"/>
    </row>
    <row r="821">
      <c r="B821" s="97"/>
      <c r="C821" s="43"/>
      <c r="G821" s="71"/>
      <c r="H821" s="71"/>
      <c r="L821" s="71"/>
      <c r="M821" s="71"/>
    </row>
    <row r="822">
      <c r="B822" s="97"/>
      <c r="C822" s="43"/>
      <c r="G822" s="71"/>
      <c r="H822" s="71"/>
      <c r="L822" s="71"/>
      <c r="M822" s="71"/>
    </row>
    <row r="823">
      <c r="B823" s="97"/>
      <c r="C823" s="43"/>
      <c r="G823" s="71"/>
      <c r="H823" s="71"/>
      <c r="L823" s="71"/>
      <c r="M823" s="71"/>
    </row>
    <row r="824">
      <c r="B824" s="97"/>
      <c r="C824" s="43"/>
      <c r="G824" s="71"/>
      <c r="H824" s="71"/>
      <c r="L824" s="71"/>
      <c r="M824" s="71"/>
    </row>
    <row r="825">
      <c r="B825" s="97"/>
      <c r="C825" s="43"/>
      <c r="G825" s="71"/>
      <c r="H825" s="71"/>
      <c r="L825" s="71"/>
      <c r="M825" s="71"/>
    </row>
    <row r="826">
      <c r="B826" s="97"/>
      <c r="C826" s="43"/>
      <c r="G826" s="71"/>
      <c r="H826" s="71"/>
      <c r="L826" s="71"/>
      <c r="M826" s="71"/>
    </row>
    <row r="827">
      <c r="B827" s="97"/>
      <c r="C827" s="43"/>
      <c r="G827" s="71"/>
      <c r="H827" s="71"/>
      <c r="L827" s="71"/>
      <c r="M827" s="71"/>
    </row>
    <row r="828">
      <c r="B828" s="97"/>
      <c r="C828" s="43"/>
      <c r="G828" s="71"/>
      <c r="H828" s="71"/>
      <c r="L828" s="71"/>
      <c r="M828" s="71"/>
    </row>
    <row r="829">
      <c r="B829" s="97"/>
      <c r="C829" s="43"/>
      <c r="G829" s="71"/>
      <c r="H829" s="71"/>
      <c r="L829" s="71"/>
      <c r="M829" s="71"/>
    </row>
    <row r="830">
      <c r="B830" s="97"/>
      <c r="C830" s="43"/>
      <c r="G830" s="71"/>
      <c r="H830" s="71"/>
      <c r="L830" s="71"/>
      <c r="M830" s="71"/>
    </row>
    <row r="831">
      <c r="B831" s="97"/>
      <c r="C831" s="43"/>
      <c r="G831" s="71"/>
      <c r="H831" s="71"/>
      <c r="L831" s="71"/>
      <c r="M831" s="71"/>
    </row>
    <row r="832">
      <c r="B832" s="97"/>
      <c r="C832" s="43"/>
      <c r="G832" s="71"/>
      <c r="H832" s="71"/>
      <c r="L832" s="71"/>
      <c r="M832" s="71"/>
    </row>
    <row r="833">
      <c r="B833" s="97"/>
      <c r="C833" s="43"/>
      <c r="G833" s="71"/>
      <c r="H833" s="71"/>
      <c r="L833" s="71"/>
      <c r="M833" s="71"/>
    </row>
    <row r="834">
      <c r="B834" s="97"/>
      <c r="C834" s="43"/>
      <c r="G834" s="71"/>
      <c r="H834" s="71"/>
      <c r="L834" s="71"/>
      <c r="M834" s="71"/>
    </row>
    <row r="835">
      <c r="B835" s="97"/>
      <c r="C835" s="43"/>
      <c r="G835" s="71"/>
      <c r="H835" s="71"/>
      <c r="L835" s="71"/>
      <c r="M835" s="71"/>
    </row>
    <row r="836">
      <c r="B836" s="97"/>
      <c r="C836" s="43"/>
      <c r="G836" s="71"/>
      <c r="H836" s="71"/>
      <c r="L836" s="71"/>
      <c r="M836" s="71"/>
    </row>
    <row r="837">
      <c r="B837" s="97"/>
      <c r="C837" s="43"/>
      <c r="G837" s="71"/>
      <c r="H837" s="71"/>
      <c r="L837" s="71"/>
      <c r="M837" s="71"/>
    </row>
    <row r="838">
      <c r="B838" s="97"/>
      <c r="C838" s="43"/>
      <c r="G838" s="71"/>
      <c r="H838" s="71"/>
      <c r="L838" s="71"/>
      <c r="M838" s="71"/>
    </row>
    <row r="839">
      <c r="B839" s="97"/>
      <c r="C839" s="43"/>
      <c r="G839" s="71"/>
      <c r="H839" s="71"/>
      <c r="L839" s="71"/>
      <c r="M839" s="71"/>
    </row>
    <row r="840">
      <c r="B840" s="97"/>
      <c r="C840" s="43"/>
      <c r="G840" s="71"/>
      <c r="H840" s="71"/>
      <c r="L840" s="71"/>
      <c r="M840" s="71"/>
    </row>
    <row r="841">
      <c r="B841" s="97"/>
      <c r="C841" s="43"/>
      <c r="G841" s="71"/>
      <c r="H841" s="71"/>
      <c r="L841" s="71"/>
      <c r="M841" s="71"/>
    </row>
    <row r="842">
      <c r="B842" s="97"/>
      <c r="C842" s="43"/>
      <c r="G842" s="71"/>
      <c r="H842" s="71"/>
      <c r="L842" s="71"/>
      <c r="M842" s="71"/>
    </row>
    <row r="843">
      <c r="B843" s="97"/>
      <c r="C843" s="43"/>
      <c r="G843" s="71"/>
      <c r="H843" s="71"/>
      <c r="L843" s="71"/>
      <c r="M843" s="71"/>
    </row>
    <row r="844">
      <c r="B844" s="97"/>
      <c r="C844" s="43"/>
      <c r="G844" s="71"/>
      <c r="H844" s="71"/>
      <c r="L844" s="71"/>
      <c r="M844" s="71"/>
    </row>
    <row r="845">
      <c r="B845" s="97"/>
      <c r="C845" s="43"/>
      <c r="G845" s="71"/>
      <c r="H845" s="71"/>
      <c r="L845" s="71"/>
      <c r="M845" s="71"/>
    </row>
    <row r="846">
      <c r="B846" s="97"/>
      <c r="C846" s="43"/>
      <c r="G846" s="71"/>
      <c r="H846" s="71"/>
      <c r="L846" s="71"/>
      <c r="M846" s="71"/>
    </row>
    <row r="847">
      <c r="B847" s="97"/>
      <c r="C847" s="43"/>
      <c r="G847" s="71"/>
      <c r="H847" s="71"/>
      <c r="L847" s="71"/>
      <c r="M847" s="71"/>
    </row>
    <row r="848">
      <c r="B848" s="97"/>
      <c r="C848" s="43"/>
      <c r="G848" s="71"/>
      <c r="H848" s="71"/>
      <c r="L848" s="71"/>
      <c r="M848" s="71"/>
    </row>
    <row r="849">
      <c r="B849" s="97"/>
      <c r="C849" s="43"/>
      <c r="G849" s="71"/>
      <c r="H849" s="71"/>
      <c r="L849" s="71"/>
      <c r="M849" s="71"/>
    </row>
    <row r="850">
      <c r="B850" s="97"/>
      <c r="C850" s="43"/>
      <c r="G850" s="71"/>
      <c r="H850" s="71"/>
      <c r="L850" s="71"/>
      <c r="M850" s="71"/>
    </row>
    <row r="851">
      <c r="B851" s="97"/>
      <c r="C851" s="43"/>
      <c r="G851" s="71"/>
      <c r="H851" s="71"/>
      <c r="L851" s="71"/>
      <c r="M851" s="71"/>
    </row>
    <row r="852">
      <c r="B852" s="97"/>
      <c r="C852" s="43"/>
      <c r="G852" s="71"/>
      <c r="H852" s="71"/>
      <c r="L852" s="71"/>
      <c r="M852" s="71"/>
    </row>
    <row r="853">
      <c r="B853" s="97"/>
      <c r="C853" s="43"/>
      <c r="G853" s="71"/>
      <c r="H853" s="71"/>
      <c r="L853" s="71"/>
      <c r="M853" s="71"/>
    </row>
    <row r="854">
      <c r="B854" s="97"/>
      <c r="C854" s="43"/>
      <c r="G854" s="71"/>
      <c r="H854" s="71"/>
      <c r="L854" s="71"/>
      <c r="M854" s="71"/>
    </row>
    <row r="855">
      <c r="B855" s="97"/>
      <c r="C855" s="43"/>
      <c r="G855" s="71"/>
      <c r="H855" s="71"/>
      <c r="L855" s="71"/>
      <c r="M855" s="71"/>
    </row>
    <row r="856">
      <c r="B856" s="97"/>
      <c r="C856" s="43"/>
      <c r="G856" s="71"/>
      <c r="H856" s="71"/>
      <c r="L856" s="71"/>
      <c r="M856" s="71"/>
    </row>
    <row r="857">
      <c r="B857" s="97"/>
      <c r="C857" s="43"/>
      <c r="G857" s="71"/>
      <c r="H857" s="71"/>
      <c r="L857" s="71"/>
      <c r="M857" s="71"/>
    </row>
    <row r="858">
      <c r="B858" s="97"/>
      <c r="C858" s="43"/>
      <c r="G858" s="71"/>
      <c r="H858" s="71"/>
      <c r="L858" s="71"/>
      <c r="M858" s="71"/>
    </row>
    <row r="859">
      <c r="B859" s="97"/>
      <c r="C859" s="43"/>
      <c r="G859" s="71"/>
      <c r="H859" s="71"/>
      <c r="L859" s="71"/>
      <c r="M859" s="71"/>
    </row>
    <row r="860">
      <c r="B860" s="97"/>
      <c r="C860" s="43"/>
      <c r="G860" s="71"/>
      <c r="H860" s="71"/>
      <c r="L860" s="71"/>
      <c r="M860" s="71"/>
    </row>
    <row r="861">
      <c r="B861" s="97"/>
      <c r="C861" s="43"/>
      <c r="G861" s="71"/>
      <c r="H861" s="71"/>
      <c r="L861" s="71"/>
      <c r="M861" s="71"/>
    </row>
    <row r="862">
      <c r="B862" s="97"/>
      <c r="C862" s="43"/>
      <c r="G862" s="71"/>
      <c r="H862" s="71"/>
      <c r="L862" s="71"/>
      <c r="M862" s="71"/>
    </row>
    <row r="863">
      <c r="B863" s="97"/>
      <c r="C863" s="43"/>
      <c r="G863" s="71"/>
      <c r="H863" s="71"/>
      <c r="L863" s="71"/>
      <c r="M863" s="71"/>
    </row>
    <row r="864">
      <c r="B864" s="97"/>
      <c r="C864" s="43"/>
      <c r="G864" s="71"/>
      <c r="H864" s="71"/>
      <c r="L864" s="71"/>
      <c r="M864" s="71"/>
    </row>
    <row r="865">
      <c r="B865" s="97"/>
      <c r="C865" s="43"/>
      <c r="G865" s="71"/>
      <c r="H865" s="71"/>
      <c r="L865" s="71"/>
      <c r="M865" s="71"/>
    </row>
    <row r="866">
      <c r="B866" s="97"/>
      <c r="C866" s="43"/>
      <c r="G866" s="71"/>
      <c r="H866" s="71"/>
      <c r="L866" s="71"/>
      <c r="M866" s="71"/>
    </row>
    <row r="867">
      <c r="B867" s="97"/>
      <c r="C867" s="43"/>
      <c r="G867" s="71"/>
      <c r="H867" s="71"/>
      <c r="L867" s="71"/>
      <c r="M867" s="71"/>
    </row>
    <row r="868">
      <c r="B868" s="97"/>
      <c r="C868" s="43"/>
      <c r="G868" s="71"/>
      <c r="H868" s="71"/>
      <c r="L868" s="71"/>
      <c r="M868" s="71"/>
    </row>
    <row r="869">
      <c r="B869" s="97"/>
      <c r="C869" s="43"/>
      <c r="G869" s="71"/>
      <c r="H869" s="71"/>
      <c r="L869" s="71"/>
      <c r="M869" s="71"/>
    </row>
    <row r="870">
      <c r="B870" s="97"/>
      <c r="C870" s="43"/>
      <c r="G870" s="71"/>
      <c r="H870" s="71"/>
      <c r="L870" s="71"/>
      <c r="M870" s="71"/>
    </row>
    <row r="871">
      <c r="B871" s="97"/>
      <c r="C871" s="43"/>
      <c r="G871" s="71"/>
      <c r="H871" s="71"/>
      <c r="L871" s="71"/>
      <c r="M871" s="71"/>
    </row>
    <row r="872">
      <c r="B872" s="97"/>
      <c r="C872" s="43"/>
      <c r="G872" s="71"/>
      <c r="H872" s="71"/>
      <c r="L872" s="71"/>
      <c r="M872" s="71"/>
    </row>
    <row r="873">
      <c r="B873" s="97"/>
      <c r="C873" s="43"/>
      <c r="G873" s="71"/>
      <c r="H873" s="71"/>
      <c r="L873" s="71"/>
      <c r="M873" s="71"/>
    </row>
    <row r="874">
      <c r="B874" s="97"/>
      <c r="C874" s="43"/>
      <c r="G874" s="71"/>
      <c r="H874" s="71"/>
      <c r="L874" s="71"/>
      <c r="M874" s="71"/>
    </row>
    <row r="875">
      <c r="B875" s="97"/>
      <c r="C875" s="43"/>
      <c r="G875" s="71"/>
      <c r="H875" s="71"/>
      <c r="L875" s="71"/>
      <c r="M875" s="71"/>
    </row>
    <row r="876">
      <c r="B876" s="97"/>
      <c r="C876" s="43"/>
      <c r="G876" s="71"/>
      <c r="H876" s="71"/>
      <c r="L876" s="71"/>
      <c r="M876" s="71"/>
    </row>
    <row r="877">
      <c r="B877" s="97"/>
      <c r="C877" s="43"/>
      <c r="G877" s="71"/>
      <c r="H877" s="71"/>
      <c r="L877" s="71"/>
      <c r="M877" s="71"/>
    </row>
    <row r="878">
      <c r="B878" s="97"/>
      <c r="C878" s="43"/>
      <c r="G878" s="71"/>
      <c r="H878" s="71"/>
      <c r="L878" s="71"/>
      <c r="M878" s="71"/>
    </row>
    <row r="879">
      <c r="B879" s="97"/>
      <c r="C879" s="43"/>
      <c r="G879" s="71"/>
      <c r="H879" s="71"/>
      <c r="L879" s="71"/>
      <c r="M879" s="71"/>
    </row>
    <row r="880">
      <c r="B880" s="97"/>
      <c r="C880" s="43"/>
      <c r="G880" s="71"/>
      <c r="H880" s="71"/>
      <c r="L880" s="71"/>
      <c r="M880" s="71"/>
    </row>
    <row r="881">
      <c r="B881" s="97"/>
      <c r="C881" s="43"/>
      <c r="G881" s="71"/>
      <c r="H881" s="71"/>
      <c r="L881" s="71"/>
      <c r="M881" s="71"/>
    </row>
    <row r="882">
      <c r="B882" s="97"/>
      <c r="C882" s="43"/>
      <c r="G882" s="71"/>
      <c r="H882" s="71"/>
      <c r="L882" s="71"/>
      <c r="M882" s="71"/>
    </row>
    <row r="883">
      <c r="B883" s="97"/>
      <c r="C883" s="43"/>
      <c r="G883" s="71"/>
      <c r="H883" s="71"/>
      <c r="L883" s="71"/>
      <c r="M883" s="71"/>
    </row>
    <row r="884">
      <c r="B884" s="97"/>
      <c r="C884" s="43"/>
      <c r="G884" s="71"/>
      <c r="H884" s="71"/>
      <c r="L884" s="71"/>
      <c r="M884" s="71"/>
    </row>
    <row r="885">
      <c r="B885" s="97"/>
      <c r="C885" s="43"/>
      <c r="G885" s="71"/>
      <c r="H885" s="71"/>
      <c r="L885" s="71"/>
      <c r="M885" s="71"/>
    </row>
    <row r="886">
      <c r="B886" s="97"/>
      <c r="C886" s="43"/>
      <c r="G886" s="71"/>
      <c r="H886" s="71"/>
      <c r="L886" s="71"/>
      <c r="M886" s="71"/>
    </row>
    <row r="887">
      <c r="B887" s="97"/>
      <c r="C887" s="43"/>
      <c r="G887" s="71"/>
      <c r="H887" s="71"/>
      <c r="L887" s="71"/>
      <c r="M887" s="71"/>
    </row>
    <row r="888">
      <c r="B888" s="97"/>
      <c r="C888" s="43"/>
      <c r="G888" s="71"/>
      <c r="H888" s="71"/>
      <c r="L888" s="71"/>
      <c r="M888" s="71"/>
    </row>
    <row r="889">
      <c r="B889" s="97"/>
      <c r="C889" s="43"/>
      <c r="G889" s="71"/>
      <c r="H889" s="71"/>
      <c r="L889" s="71"/>
      <c r="M889" s="71"/>
    </row>
    <row r="890">
      <c r="B890" s="97"/>
      <c r="C890" s="43"/>
      <c r="G890" s="71"/>
      <c r="H890" s="71"/>
      <c r="L890" s="71"/>
      <c r="M890" s="71"/>
    </row>
    <row r="891">
      <c r="B891" s="97"/>
      <c r="C891" s="43"/>
      <c r="G891" s="71"/>
      <c r="H891" s="71"/>
      <c r="L891" s="71"/>
      <c r="M891" s="71"/>
    </row>
    <row r="892">
      <c r="B892" s="97"/>
      <c r="C892" s="43"/>
      <c r="G892" s="71"/>
      <c r="H892" s="71"/>
      <c r="L892" s="71"/>
      <c r="M892" s="71"/>
    </row>
    <row r="893">
      <c r="B893" s="97"/>
      <c r="C893" s="43"/>
      <c r="G893" s="71"/>
      <c r="H893" s="71"/>
      <c r="L893" s="71"/>
      <c r="M893" s="71"/>
    </row>
    <row r="894">
      <c r="B894" s="97"/>
      <c r="C894" s="43"/>
      <c r="G894" s="71"/>
      <c r="H894" s="71"/>
      <c r="L894" s="71"/>
      <c r="M894" s="71"/>
    </row>
    <row r="895">
      <c r="B895" s="97"/>
      <c r="C895" s="43"/>
      <c r="G895" s="71"/>
      <c r="H895" s="71"/>
      <c r="L895" s="71"/>
      <c r="M895" s="71"/>
    </row>
    <row r="896">
      <c r="B896" s="97"/>
      <c r="C896" s="43"/>
      <c r="G896" s="71"/>
      <c r="H896" s="71"/>
      <c r="L896" s="71"/>
      <c r="M896" s="71"/>
    </row>
    <row r="897">
      <c r="B897" s="97"/>
      <c r="C897" s="43"/>
      <c r="G897" s="71"/>
      <c r="H897" s="71"/>
      <c r="L897" s="71"/>
      <c r="M897" s="71"/>
    </row>
    <row r="898">
      <c r="B898" s="97"/>
      <c r="C898" s="43"/>
      <c r="G898" s="71"/>
      <c r="H898" s="71"/>
      <c r="L898" s="71"/>
      <c r="M898" s="71"/>
    </row>
    <row r="899">
      <c r="B899" s="97"/>
      <c r="C899" s="43"/>
      <c r="G899" s="71"/>
      <c r="H899" s="71"/>
      <c r="L899" s="71"/>
      <c r="M899" s="71"/>
    </row>
    <row r="900">
      <c r="B900" s="97"/>
      <c r="C900" s="43"/>
      <c r="G900" s="71"/>
      <c r="H900" s="71"/>
      <c r="L900" s="71"/>
      <c r="M900" s="71"/>
    </row>
    <row r="901">
      <c r="B901" s="97"/>
      <c r="C901" s="43"/>
      <c r="G901" s="71"/>
      <c r="H901" s="71"/>
      <c r="L901" s="71"/>
      <c r="M901" s="71"/>
    </row>
    <row r="902">
      <c r="B902" s="97"/>
      <c r="C902" s="43"/>
      <c r="G902" s="71"/>
      <c r="H902" s="71"/>
      <c r="L902" s="71"/>
      <c r="M902" s="71"/>
    </row>
    <row r="903">
      <c r="B903" s="97"/>
      <c r="C903" s="43"/>
      <c r="G903" s="71"/>
      <c r="H903" s="71"/>
      <c r="L903" s="71"/>
      <c r="M903" s="71"/>
    </row>
    <row r="904">
      <c r="B904" s="97"/>
      <c r="C904" s="43"/>
      <c r="G904" s="71"/>
      <c r="H904" s="71"/>
      <c r="L904" s="71"/>
      <c r="M904" s="71"/>
    </row>
    <row r="905">
      <c r="B905" s="97"/>
      <c r="C905" s="43"/>
      <c r="G905" s="71"/>
      <c r="H905" s="71"/>
      <c r="L905" s="71"/>
      <c r="M905" s="71"/>
    </row>
    <row r="906">
      <c r="B906" s="97"/>
      <c r="C906" s="43"/>
      <c r="G906" s="71"/>
      <c r="H906" s="71"/>
      <c r="L906" s="71"/>
      <c r="M906" s="71"/>
    </row>
    <row r="907">
      <c r="B907" s="97"/>
      <c r="C907" s="43"/>
      <c r="G907" s="71"/>
      <c r="H907" s="71"/>
      <c r="L907" s="71"/>
      <c r="M907" s="71"/>
    </row>
    <row r="908">
      <c r="B908" s="97"/>
      <c r="C908" s="43"/>
      <c r="G908" s="71"/>
      <c r="H908" s="71"/>
      <c r="L908" s="71"/>
      <c r="M908" s="71"/>
    </row>
    <row r="909">
      <c r="B909" s="97"/>
      <c r="C909" s="43"/>
      <c r="G909" s="71"/>
      <c r="H909" s="71"/>
      <c r="L909" s="71"/>
      <c r="M909" s="71"/>
    </row>
    <row r="910">
      <c r="B910" s="97"/>
      <c r="C910" s="43"/>
      <c r="G910" s="71"/>
      <c r="H910" s="71"/>
      <c r="L910" s="71"/>
      <c r="M910" s="71"/>
    </row>
    <row r="911">
      <c r="B911" s="97"/>
      <c r="C911" s="43"/>
      <c r="G911" s="71"/>
      <c r="H911" s="71"/>
      <c r="L911" s="71"/>
      <c r="M911" s="71"/>
    </row>
    <row r="912">
      <c r="B912" s="97"/>
      <c r="C912" s="43"/>
      <c r="G912" s="71"/>
      <c r="H912" s="71"/>
      <c r="L912" s="71"/>
      <c r="M912" s="71"/>
    </row>
    <row r="913">
      <c r="B913" s="97"/>
      <c r="C913" s="43"/>
      <c r="G913" s="71"/>
      <c r="H913" s="71"/>
      <c r="L913" s="71"/>
      <c r="M913" s="71"/>
    </row>
    <row r="914">
      <c r="B914" s="97"/>
      <c r="C914" s="43"/>
      <c r="G914" s="71"/>
      <c r="H914" s="71"/>
      <c r="L914" s="71"/>
      <c r="M914" s="71"/>
    </row>
    <row r="915">
      <c r="B915" s="97"/>
      <c r="C915" s="43"/>
      <c r="G915" s="71"/>
      <c r="H915" s="71"/>
      <c r="L915" s="71"/>
      <c r="M915" s="71"/>
    </row>
    <row r="916">
      <c r="B916" s="97"/>
      <c r="C916" s="43"/>
      <c r="G916" s="71"/>
      <c r="H916" s="71"/>
      <c r="L916" s="71"/>
      <c r="M916" s="71"/>
    </row>
    <row r="917">
      <c r="B917" s="97"/>
      <c r="C917" s="43"/>
      <c r="G917" s="71"/>
      <c r="H917" s="71"/>
      <c r="L917" s="71"/>
      <c r="M917" s="71"/>
    </row>
    <row r="918">
      <c r="B918" s="97"/>
      <c r="C918" s="43"/>
      <c r="G918" s="71"/>
      <c r="H918" s="71"/>
      <c r="L918" s="71"/>
      <c r="M918" s="71"/>
    </row>
    <row r="919">
      <c r="B919" s="97"/>
      <c r="C919" s="43"/>
      <c r="G919" s="71"/>
      <c r="H919" s="71"/>
      <c r="L919" s="71"/>
      <c r="M919" s="71"/>
    </row>
    <row r="920">
      <c r="B920" s="97"/>
      <c r="C920" s="43"/>
      <c r="G920" s="71"/>
      <c r="H920" s="71"/>
      <c r="L920" s="71"/>
      <c r="M920" s="71"/>
    </row>
    <row r="921">
      <c r="B921" s="97"/>
      <c r="C921" s="43"/>
      <c r="G921" s="71"/>
      <c r="H921" s="71"/>
      <c r="L921" s="71"/>
      <c r="M921" s="71"/>
    </row>
    <row r="922">
      <c r="B922" s="97"/>
      <c r="C922" s="43"/>
      <c r="G922" s="71"/>
      <c r="H922" s="71"/>
      <c r="L922" s="71"/>
      <c r="M922" s="71"/>
    </row>
    <row r="923">
      <c r="B923" s="97"/>
      <c r="C923" s="43"/>
      <c r="G923" s="71"/>
      <c r="H923" s="71"/>
      <c r="L923" s="71"/>
      <c r="M923" s="71"/>
    </row>
    <row r="924">
      <c r="B924" s="97"/>
      <c r="C924" s="43"/>
      <c r="G924" s="71"/>
      <c r="H924" s="71"/>
      <c r="L924" s="71"/>
      <c r="M924" s="71"/>
    </row>
    <row r="925">
      <c r="B925" s="97"/>
      <c r="C925" s="43"/>
      <c r="G925" s="71"/>
      <c r="H925" s="71"/>
      <c r="L925" s="71"/>
      <c r="M925" s="71"/>
    </row>
    <row r="926">
      <c r="B926" s="97"/>
      <c r="C926" s="43"/>
      <c r="G926" s="71"/>
      <c r="H926" s="71"/>
      <c r="L926" s="71"/>
      <c r="M926" s="71"/>
    </row>
    <row r="927">
      <c r="B927" s="97"/>
      <c r="C927" s="43"/>
      <c r="G927" s="71"/>
      <c r="H927" s="71"/>
      <c r="L927" s="71"/>
      <c r="M927" s="71"/>
    </row>
    <row r="928">
      <c r="B928" s="97"/>
      <c r="C928" s="43"/>
      <c r="G928" s="71"/>
      <c r="H928" s="71"/>
      <c r="L928" s="71"/>
      <c r="M928" s="71"/>
    </row>
    <row r="929">
      <c r="B929" s="97"/>
      <c r="C929" s="43"/>
      <c r="G929" s="71"/>
      <c r="H929" s="71"/>
      <c r="L929" s="71"/>
      <c r="M929" s="71"/>
    </row>
    <row r="930">
      <c r="B930" s="97"/>
      <c r="C930" s="43"/>
      <c r="G930" s="71"/>
      <c r="H930" s="71"/>
      <c r="L930" s="71"/>
      <c r="M930" s="71"/>
    </row>
    <row r="931">
      <c r="B931" s="97"/>
      <c r="C931" s="43"/>
      <c r="G931" s="71"/>
      <c r="H931" s="71"/>
      <c r="L931" s="71"/>
      <c r="M931" s="71"/>
    </row>
    <row r="932">
      <c r="B932" s="97"/>
      <c r="C932" s="43"/>
      <c r="G932" s="71"/>
      <c r="H932" s="71"/>
      <c r="L932" s="71"/>
      <c r="M932" s="71"/>
    </row>
    <row r="933">
      <c r="B933" s="97"/>
      <c r="C933" s="43"/>
      <c r="G933" s="71"/>
      <c r="H933" s="71"/>
      <c r="L933" s="71"/>
      <c r="M933" s="71"/>
    </row>
    <row r="934">
      <c r="B934" s="97"/>
      <c r="C934" s="43"/>
      <c r="G934" s="71"/>
      <c r="H934" s="71"/>
      <c r="L934" s="71"/>
      <c r="M934" s="71"/>
    </row>
    <row r="935">
      <c r="B935" s="97"/>
      <c r="C935" s="43"/>
      <c r="G935" s="71"/>
      <c r="H935" s="71"/>
      <c r="L935" s="71"/>
      <c r="M935" s="71"/>
    </row>
    <row r="936">
      <c r="B936" s="97"/>
      <c r="C936" s="43"/>
      <c r="G936" s="71"/>
      <c r="H936" s="71"/>
      <c r="L936" s="71"/>
      <c r="M936" s="71"/>
    </row>
    <row r="937">
      <c r="B937" s="97"/>
      <c r="C937" s="43"/>
      <c r="G937" s="71"/>
      <c r="H937" s="71"/>
      <c r="L937" s="71"/>
      <c r="M937" s="71"/>
    </row>
    <row r="938">
      <c r="B938" s="97"/>
      <c r="C938" s="43"/>
      <c r="G938" s="71"/>
      <c r="H938" s="71"/>
      <c r="L938" s="71"/>
      <c r="M938" s="71"/>
    </row>
    <row r="939">
      <c r="B939" s="97"/>
      <c r="C939" s="43"/>
      <c r="G939" s="71"/>
      <c r="H939" s="71"/>
      <c r="L939" s="71"/>
      <c r="M939" s="71"/>
    </row>
    <row r="940">
      <c r="B940" s="97"/>
      <c r="C940" s="43"/>
      <c r="G940" s="71"/>
      <c r="H940" s="71"/>
      <c r="L940" s="71"/>
      <c r="M940" s="71"/>
    </row>
    <row r="941">
      <c r="B941" s="97"/>
      <c r="C941" s="43"/>
      <c r="G941" s="71"/>
      <c r="H941" s="71"/>
      <c r="L941" s="71"/>
      <c r="M941" s="71"/>
    </row>
    <row r="942">
      <c r="B942" s="97"/>
      <c r="C942" s="43"/>
      <c r="G942" s="71"/>
      <c r="H942" s="71"/>
      <c r="L942" s="71"/>
      <c r="M942" s="71"/>
    </row>
    <row r="943">
      <c r="B943" s="97"/>
      <c r="C943" s="43"/>
      <c r="G943" s="71"/>
      <c r="H943" s="71"/>
      <c r="L943" s="71"/>
      <c r="M943" s="71"/>
    </row>
    <row r="944">
      <c r="B944" s="97"/>
      <c r="C944" s="43"/>
      <c r="G944" s="71"/>
      <c r="H944" s="71"/>
      <c r="L944" s="71"/>
      <c r="M944" s="71"/>
    </row>
    <row r="945">
      <c r="B945" s="97"/>
      <c r="C945" s="43"/>
      <c r="G945" s="71"/>
      <c r="H945" s="71"/>
      <c r="L945" s="71"/>
      <c r="M945" s="71"/>
    </row>
    <row r="946">
      <c r="B946" s="97"/>
      <c r="C946" s="43"/>
      <c r="G946" s="71"/>
      <c r="H946" s="71"/>
      <c r="L946" s="71"/>
      <c r="M946" s="71"/>
    </row>
    <row r="947">
      <c r="B947" s="97"/>
      <c r="C947" s="43"/>
      <c r="G947" s="71"/>
      <c r="H947" s="71"/>
      <c r="L947" s="71"/>
      <c r="M947" s="71"/>
    </row>
    <row r="948">
      <c r="B948" s="97"/>
      <c r="C948" s="43"/>
      <c r="G948" s="71"/>
      <c r="H948" s="71"/>
      <c r="L948" s="71"/>
      <c r="M948" s="71"/>
    </row>
    <row r="949">
      <c r="B949" s="97"/>
      <c r="C949" s="43"/>
      <c r="G949" s="71"/>
      <c r="H949" s="71"/>
      <c r="L949" s="71"/>
      <c r="M949" s="71"/>
    </row>
    <row r="950">
      <c r="B950" s="97"/>
      <c r="C950" s="43"/>
      <c r="G950" s="71"/>
      <c r="H950" s="71"/>
      <c r="L950" s="71"/>
      <c r="M950" s="71"/>
    </row>
    <row r="951">
      <c r="B951" s="97"/>
      <c r="C951" s="43"/>
      <c r="G951" s="71"/>
      <c r="H951" s="71"/>
      <c r="L951" s="71"/>
      <c r="M951" s="71"/>
    </row>
    <row r="952">
      <c r="B952" s="97"/>
      <c r="C952" s="43"/>
      <c r="G952" s="71"/>
      <c r="H952" s="71"/>
      <c r="L952" s="71"/>
      <c r="M952" s="71"/>
    </row>
    <row r="953">
      <c r="B953" s="97"/>
      <c r="C953" s="43"/>
      <c r="G953" s="71"/>
      <c r="H953" s="71"/>
      <c r="L953" s="71"/>
      <c r="M953" s="71"/>
    </row>
    <row r="954">
      <c r="B954" s="97"/>
      <c r="C954" s="43"/>
      <c r="G954" s="71"/>
      <c r="H954" s="71"/>
      <c r="L954" s="71"/>
      <c r="M954" s="71"/>
    </row>
    <row r="955">
      <c r="B955" s="97"/>
      <c r="C955" s="43"/>
      <c r="G955" s="71"/>
      <c r="H955" s="71"/>
      <c r="L955" s="71"/>
      <c r="M955" s="71"/>
    </row>
    <row r="956">
      <c r="B956" s="97"/>
      <c r="C956" s="43"/>
      <c r="G956" s="71"/>
      <c r="H956" s="71"/>
      <c r="L956" s="71"/>
      <c r="M956" s="71"/>
    </row>
    <row r="957">
      <c r="B957" s="97"/>
      <c r="C957" s="43"/>
      <c r="G957" s="71"/>
      <c r="H957" s="71"/>
      <c r="L957" s="71"/>
      <c r="M957" s="71"/>
    </row>
    <row r="958">
      <c r="B958" s="97"/>
      <c r="C958" s="43"/>
      <c r="G958" s="71"/>
      <c r="H958" s="71"/>
      <c r="L958" s="71"/>
      <c r="M958" s="71"/>
    </row>
    <row r="959">
      <c r="B959" s="97"/>
      <c r="C959" s="43"/>
      <c r="G959" s="71"/>
      <c r="H959" s="71"/>
      <c r="L959" s="71"/>
      <c r="M959" s="71"/>
    </row>
    <row r="960">
      <c r="B960" s="97"/>
      <c r="C960" s="43"/>
      <c r="G960" s="71"/>
      <c r="H960" s="71"/>
      <c r="L960" s="71"/>
      <c r="M960" s="71"/>
    </row>
    <row r="961">
      <c r="B961" s="97"/>
      <c r="C961" s="43"/>
      <c r="G961" s="71"/>
      <c r="H961" s="71"/>
      <c r="L961" s="71"/>
      <c r="M961" s="71"/>
    </row>
    <row r="962">
      <c r="B962" s="97"/>
      <c r="C962" s="43"/>
      <c r="G962" s="71"/>
      <c r="H962" s="71"/>
      <c r="L962" s="71"/>
      <c r="M962" s="71"/>
    </row>
    <row r="963">
      <c r="B963" s="97"/>
      <c r="C963" s="43"/>
      <c r="G963" s="71"/>
      <c r="H963" s="71"/>
      <c r="L963" s="71"/>
      <c r="M963" s="71"/>
    </row>
    <row r="964">
      <c r="B964" s="97"/>
      <c r="C964" s="43"/>
      <c r="G964" s="71"/>
      <c r="H964" s="71"/>
      <c r="L964" s="71"/>
      <c r="M964" s="71"/>
    </row>
    <row r="965">
      <c r="B965" s="97"/>
      <c r="C965" s="43"/>
      <c r="G965" s="71"/>
      <c r="H965" s="71"/>
      <c r="L965" s="71"/>
      <c r="M965" s="71"/>
    </row>
    <row r="966">
      <c r="B966" s="97"/>
      <c r="C966" s="43"/>
      <c r="G966" s="71"/>
      <c r="H966" s="71"/>
      <c r="L966" s="71"/>
      <c r="M966" s="71"/>
    </row>
    <row r="967">
      <c r="B967" s="97"/>
      <c r="C967" s="43"/>
      <c r="G967" s="71"/>
      <c r="H967" s="71"/>
      <c r="L967" s="71"/>
      <c r="M967" s="71"/>
    </row>
    <row r="968">
      <c r="B968" s="97"/>
      <c r="C968" s="43"/>
      <c r="G968" s="71"/>
      <c r="H968" s="71"/>
      <c r="L968" s="71"/>
      <c r="M968" s="71"/>
    </row>
    <row r="969">
      <c r="B969" s="97"/>
      <c r="C969" s="43"/>
      <c r="G969" s="71"/>
      <c r="H969" s="71"/>
      <c r="L969" s="71"/>
      <c r="M969" s="71"/>
    </row>
    <row r="970">
      <c r="B970" s="97"/>
      <c r="C970" s="43"/>
      <c r="G970" s="71"/>
      <c r="H970" s="71"/>
      <c r="L970" s="71"/>
      <c r="M970" s="71"/>
    </row>
    <row r="971">
      <c r="B971" s="97"/>
      <c r="C971" s="43"/>
      <c r="G971" s="71"/>
      <c r="H971" s="71"/>
      <c r="L971" s="71"/>
      <c r="M971" s="71"/>
    </row>
    <row r="972">
      <c r="B972" s="97"/>
      <c r="C972" s="43"/>
      <c r="G972" s="71"/>
      <c r="H972" s="71"/>
      <c r="L972" s="71"/>
      <c r="M972" s="71"/>
    </row>
    <row r="973">
      <c r="B973" s="97"/>
      <c r="C973" s="43"/>
      <c r="G973" s="71"/>
      <c r="H973" s="71"/>
      <c r="L973" s="71"/>
      <c r="M973" s="71"/>
    </row>
    <row r="974">
      <c r="B974" s="97"/>
      <c r="C974" s="43"/>
      <c r="G974" s="71"/>
      <c r="H974" s="71"/>
      <c r="L974" s="71"/>
      <c r="M974" s="71"/>
    </row>
    <row r="975">
      <c r="B975" s="97"/>
      <c r="C975" s="43"/>
      <c r="G975" s="71"/>
      <c r="H975" s="71"/>
      <c r="L975" s="71"/>
      <c r="M975" s="71"/>
    </row>
    <row r="976">
      <c r="B976" s="97"/>
      <c r="C976" s="43"/>
      <c r="G976" s="71"/>
      <c r="H976" s="71"/>
      <c r="L976" s="71"/>
      <c r="M976" s="71"/>
    </row>
    <row r="977">
      <c r="B977" s="97"/>
      <c r="C977" s="43"/>
      <c r="G977" s="71"/>
      <c r="H977" s="71"/>
      <c r="L977" s="71"/>
      <c r="M977" s="71"/>
    </row>
    <row r="978">
      <c r="B978" s="97"/>
      <c r="C978" s="43"/>
      <c r="G978" s="71"/>
      <c r="H978" s="71"/>
      <c r="L978" s="71"/>
      <c r="M978" s="71"/>
    </row>
    <row r="979">
      <c r="B979" s="97"/>
      <c r="C979" s="43"/>
      <c r="G979" s="71"/>
      <c r="H979" s="71"/>
      <c r="L979" s="71"/>
      <c r="M979" s="71"/>
    </row>
    <row r="980">
      <c r="B980" s="97"/>
      <c r="C980" s="43"/>
      <c r="G980" s="71"/>
      <c r="H980" s="71"/>
      <c r="L980" s="71"/>
      <c r="M980" s="71"/>
    </row>
    <row r="981">
      <c r="B981" s="97"/>
      <c r="C981" s="43"/>
      <c r="G981" s="71"/>
      <c r="H981" s="71"/>
      <c r="L981" s="71"/>
      <c r="M981" s="71"/>
    </row>
    <row r="982">
      <c r="B982" s="97"/>
      <c r="C982" s="43"/>
      <c r="G982" s="71"/>
      <c r="H982" s="71"/>
      <c r="L982" s="71"/>
      <c r="M982" s="71"/>
    </row>
    <row r="983">
      <c r="B983" s="97"/>
      <c r="C983" s="43"/>
      <c r="G983" s="71"/>
      <c r="H983" s="71"/>
      <c r="L983" s="71"/>
      <c r="M983" s="71"/>
    </row>
    <row r="984">
      <c r="B984" s="97"/>
      <c r="C984" s="43"/>
      <c r="G984" s="71"/>
      <c r="H984" s="71"/>
      <c r="L984" s="71"/>
      <c r="M984" s="71"/>
    </row>
    <row r="985">
      <c r="B985" s="97"/>
      <c r="C985" s="43"/>
      <c r="G985" s="71"/>
      <c r="H985" s="71"/>
      <c r="L985" s="71"/>
      <c r="M985" s="71"/>
    </row>
    <row r="986">
      <c r="B986" s="97"/>
      <c r="C986" s="43"/>
      <c r="G986" s="71"/>
      <c r="H986" s="71"/>
      <c r="L986" s="71"/>
      <c r="M986" s="71"/>
    </row>
    <row r="987">
      <c r="B987" s="97"/>
      <c r="C987" s="43"/>
      <c r="G987" s="71"/>
      <c r="H987" s="71"/>
      <c r="L987" s="71"/>
      <c r="M987" s="71"/>
    </row>
    <row r="988">
      <c r="B988" s="97"/>
      <c r="C988" s="43"/>
      <c r="G988" s="71"/>
      <c r="H988" s="71"/>
      <c r="L988" s="71"/>
      <c r="M988" s="71"/>
    </row>
    <row r="989">
      <c r="B989" s="97"/>
      <c r="C989" s="43"/>
      <c r="G989" s="71"/>
      <c r="H989" s="71"/>
      <c r="L989" s="71"/>
      <c r="M989" s="71"/>
    </row>
    <row r="990">
      <c r="B990" s="97"/>
      <c r="C990" s="43"/>
      <c r="G990" s="71"/>
      <c r="H990" s="71"/>
      <c r="L990" s="71"/>
      <c r="M990" s="71"/>
    </row>
    <row r="991">
      <c r="B991" s="97"/>
      <c r="C991" s="43"/>
      <c r="G991" s="71"/>
      <c r="H991" s="71"/>
      <c r="L991" s="71"/>
      <c r="M991" s="71"/>
    </row>
    <row r="992">
      <c r="B992" s="97"/>
      <c r="C992" s="43"/>
      <c r="G992" s="71"/>
      <c r="H992" s="71"/>
      <c r="L992" s="71"/>
      <c r="M992" s="71"/>
    </row>
    <row r="993">
      <c r="B993" s="97"/>
      <c r="C993" s="43"/>
      <c r="G993" s="71"/>
      <c r="H993" s="71"/>
      <c r="L993" s="71"/>
      <c r="M993" s="71"/>
    </row>
    <row r="994">
      <c r="B994" s="97"/>
      <c r="C994" s="43"/>
      <c r="G994" s="71"/>
      <c r="H994" s="71"/>
      <c r="L994" s="71"/>
      <c r="M994" s="71"/>
    </row>
    <row r="995">
      <c r="B995" s="97"/>
      <c r="C995" s="43"/>
      <c r="G995" s="71"/>
      <c r="H995" s="71"/>
      <c r="L995" s="71"/>
      <c r="M995" s="71"/>
    </row>
    <row r="996">
      <c r="B996" s="97"/>
      <c r="C996" s="43"/>
      <c r="G996" s="71"/>
      <c r="H996" s="71"/>
      <c r="L996" s="71"/>
      <c r="M996" s="71"/>
    </row>
    <row r="997">
      <c r="B997" s="97"/>
      <c r="C997" s="43"/>
      <c r="G997" s="71"/>
      <c r="H997" s="71"/>
      <c r="L997" s="71"/>
      <c r="M997" s="71"/>
    </row>
    <row r="998">
      <c r="B998" s="97"/>
      <c r="C998" s="43"/>
      <c r="G998" s="71"/>
      <c r="H998" s="71"/>
      <c r="L998" s="71"/>
      <c r="M998" s="71"/>
    </row>
    <row r="999">
      <c r="B999" s="97"/>
      <c r="C999" s="43"/>
      <c r="G999" s="71"/>
      <c r="H999" s="71"/>
      <c r="L999" s="71"/>
      <c r="M999" s="71"/>
    </row>
    <row r="1000">
      <c r="B1000" s="97"/>
      <c r="C1000" s="43"/>
      <c r="G1000" s="71"/>
      <c r="H1000" s="71"/>
      <c r="L1000" s="71"/>
      <c r="M1000" s="71"/>
    </row>
    <row r="1001">
      <c r="B1001" s="97"/>
      <c r="C1001" s="43"/>
      <c r="G1001" s="71"/>
      <c r="H1001" s="71"/>
      <c r="L1001" s="71"/>
      <c r="M1001" s="71"/>
    </row>
  </sheetData>
  <mergeCells count="6">
    <mergeCell ref="A1:H1"/>
    <mergeCell ref="A2:A4"/>
    <mergeCell ref="B2:B4"/>
    <mergeCell ref="C2:C4"/>
    <mergeCell ref="D2:H2"/>
    <mergeCell ref="I2:M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">
        <v>88</v>
      </c>
    </row>
    <row r="2">
      <c r="A2" s="47" t="s">
        <v>94</v>
      </c>
      <c r="B2" s="48" t="s">
        <v>95</v>
      </c>
      <c r="C2" s="49" t="s">
        <v>96</v>
      </c>
      <c r="D2" s="98" t="s">
        <v>118</v>
      </c>
      <c r="E2" s="51"/>
      <c r="F2" s="51"/>
      <c r="G2" s="51"/>
      <c r="H2" s="52"/>
    </row>
    <row r="3">
      <c r="A3" s="54"/>
      <c r="B3" s="54"/>
      <c r="C3" s="54"/>
      <c r="D3" s="99">
        <v>45778.0</v>
      </c>
      <c r="E3" s="100" t="s">
        <v>99</v>
      </c>
      <c r="F3" s="100" t="s">
        <v>100</v>
      </c>
      <c r="G3" s="101" t="s">
        <v>101</v>
      </c>
      <c r="H3" s="101" t="s">
        <v>102</v>
      </c>
    </row>
    <row r="4">
      <c r="A4" s="61"/>
      <c r="B4" s="61"/>
      <c r="C4" s="61"/>
      <c r="D4" s="102" t="s">
        <v>104</v>
      </c>
      <c r="E4" s="102" t="s">
        <v>104</v>
      </c>
      <c r="F4" s="102" t="s">
        <v>105</v>
      </c>
      <c r="G4" s="103" t="s">
        <v>106</v>
      </c>
      <c r="H4" s="103" t="s">
        <v>119</v>
      </c>
    </row>
    <row r="5">
      <c r="A5" s="66">
        <v>1.0</v>
      </c>
      <c r="B5" s="16" t="s">
        <v>9</v>
      </c>
      <c r="C5" s="67" t="s">
        <v>10</v>
      </c>
      <c r="D5" s="69">
        <v>11897.0</v>
      </c>
      <c r="E5" s="69">
        <v>7287.0</v>
      </c>
      <c r="F5" s="69">
        <f t="shared" ref="F5:F68" si="1">E5-D5</f>
        <v>-4610</v>
      </c>
      <c r="G5" s="69">
        <f t="shared" ref="G5:G68" si="2">F5/D5%</f>
        <v>-38.74926452</v>
      </c>
      <c r="H5" s="70">
        <f t="shared" ref="H5:H68" si="3">MIN(10,MAX(0,G5*1/10))</f>
        <v>0</v>
      </c>
    </row>
    <row r="6">
      <c r="A6" s="66">
        <v>2.0</v>
      </c>
      <c r="B6" s="16" t="s">
        <v>9</v>
      </c>
      <c r="C6" s="67" t="s">
        <v>11</v>
      </c>
      <c r="D6" s="69">
        <v>7762.0</v>
      </c>
      <c r="E6" s="69">
        <v>8349.0</v>
      </c>
      <c r="F6" s="69">
        <f t="shared" si="1"/>
        <v>587</v>
      </c>
      <c r="G6" s="69">
        <f t="shared" si="2"/>
        <v>7.562483896</v>
      </c>
      <c r="H6" s="70">
        <f t="shared" si="3"/>
        <v>0.7562483896</v>
      </c>
    </row>
    <row r="7">
      <c r="A7" s="66">
        <v>3.0</v>
      </c>
      <c r="B7" s="16" t="s">
        <v>9</v>
      </c>
      <c r="C7" s="67" t="s">
        <v>17</v>
      </c>
      <c r="D7" s="69">
        <v>4105.0</v>
      </c>
      <c r="E7" s="69">
        <v>5756.0</v>
      </c>
      <c r="F7" s="69">
        <f t="shared" si="1"/>
        <v>1651</v>
      </c>
      <c r="G7" s="69">
        <f t="shared" si="2"/>
        <v>40.21924482</v>
      </c>
      <c r="H7" s="70">
        <f t="shared" si="3"/>
        <v>4.021924482</v>
      </c>
    </row>
    <row r="8">
      <c r="A8" s="66">
        <v>4.0</v>
      </c>
      <c r="B8" s="16" t="s">
        <v>9</v>
      </c>
      <c r="C8" s="72" t="s">
        <v>12</v>
      </c>
      <c r="D8" s="73">
        <v>1765.0</v>
      </c>
      <c r="E8" s="73">
        <v>1454.0</v>
      </c>
      <c r="F8" s="69">
        <f t="shared" si="1"/>
        <v>-311</v>
      </c>
      <c r="G8" s="69">
        <f t="shared" si="2"/>
        <v>-17.6203966</v>
      </c>
      <c r="H8" s="70">
        <f t="shared" si="3"/>
        <v>0</v>
      </c>
    </row>
    <row r="9">
      <c r="A9" s="66">
        <v>5.0</v>
      </c>
      <c r="B9" s="16" t="s">
        <v>9</v>
      </c>
      <c r="C9" s="72" t="s">
        <v>13</v>
      </c>
      <c r="D9" s="73">
        <v>869.0</v>
      </c>
      <c r="E9" s="73">
        <v>1047.0</v>
      </c>
      <c r="F9" s="69">
        <f t="shared" si="1"/>
        <v>178</v>
      </c>
      <c r="G9" s="69">
        <f t="shared" si="2"/>
        <v>20.48331415</v>
      </c>
      <c r="H9" s="70">
        <f t="shared" si="3"/>
        <v>2.048331415</v>
      </c>
    </row>
    <row r="10">
      <c r="A10" s="66">
        <v>6.0</v>
      </c>
      <c r="B10" s="16" t="s">
        <v>9</v>
      </c>
      <c r="C10" s="72" t="s">
        <v>14</v>
      </c>
      <c r="D10" s="73">
        <v>3713.0</v>
      </c>
      <c r="E10" s="73">
        <v>3194.0</v>
      </c>
      <c r="F10" s="69">
        <f t="shared" si="1"/>
        <v>-519</v>
      </c>
      <c r="G10" s="69">
        <f t="shared" si="2"/>
        <v>-13.97791543</v>
      </c>
      <c r="H10" s="70">
        <f t="shared" si="3"/>
        <v>0</v>
      </c>
    </row>
    <row r="11">
      <c r="A11" s="66">
        <v>7.0</v>
      </c>
      <c r="B11" s="16" t="s">
        <v>9</v>
      </c>
      <c r="C11" s="72" t="s">
        <v>15</v>
      </c>
      <c r="D11" s="73">
        <v>2847.0</v>
      </c>
      <c r="E11" s="73">
        <v>3156.0</v>
      </c>
      <c r="F11" s="69">
        <f t="shared" si="1"/>
        <v>309</v>
      </c>
      <c r="G11" s="69">
        <f t="shared" si="2"/>
        <v>10.85353003</v>
      </c>
      <c r="H11" s="70">
        <f t="shared" si="3"/>
        <v>1.085353003</v>
      </c>
    </row>
    <row r="12">
      <c r="A12" s="66">
        <v>8.0</v>
      </c>
      <c r="B12" s="16" t="s">
        <v>9</v>
      </c>
      <c r="C12" s="72" t="s">
        <v>16</v>
      </c>
      <c r="D12" s="73">
        <v>1501.0</v>
      </c>
      <c r="E12" s="73">
        <v>1418.0</v>
      </c>
      <c r="F12" s="69">
        <f t="shared" si="1"/>
        <v>-83</v>
      </c>
      <c r="G12" s="69">
        <f t="shared" si="2"/>
        <v>-5.529646902</v>
      </c>
      <c r="H12" s="70">
        <f t="shared" si="3"/>
        <v>0</v>
      </c>
    </row>
    <row r="13">
      <c r="A13" s="66">
        <v>9.0</v>
      </c>
      <c r="B13" s="16" t="s">
        <v>9</v>
      </c>
      <c r="C13" s="72" t="s">
        <v>109</v>
      </c>
      <c r="D13" s="73">
        <v>1997.0</v>
      </c>
      <c r="E13" s="73">
        <v>2270.0</v>
      </c>
      <c r="F13" s="69">
        <f t="shared" si="1"/>
        <v>273</v>
      </c>
      <c r="G13" s="69">
        <f t="shared" si="2"/>
        <v>13.67050576</v>
      </c>
      <c r="H13" s="70">
        <f t="shared" si="3"/>
        <v>1.367050576</v>
      </c>
    </row>
    <row r="14">
      <c r="A14" s="74"/>
      <c r="B14" s="16" t="s">
        <v>9</v>
      </c>
      <c r="C14" s="75" t="s">
        <v>120</v>
      </c>
      <c r="D14" s="76">
        <v>36456.0</v>
      </c>
      <c r="E14" s="76">
        <v>33931.0</v>
      </c>
      <c r="F14" s="77">
        <f t="shared" si="1"/>
        <v>-2525</v>
      </c>
      <c r="G14" s="77">
        <f t="shared" si="2"/>
        <v>-6.92615756</v>
      </c>
      <c r="H14" s="78">
        <f t="shared" si="3"/>
        <v>0</v>
      </c>
    </row>
    <row r="15">
      <c r="A15" s="66">
        <v>10.0</v>
      </c>
      <c r="B15" s="16" t="s">
        <v>19</v>
      </c>
      <c r="C15" s="67" t="s">
        <v>21</v>
      </c>
      <c r="D15" s="69">
        <v>6286.0</v>
      </c>
      <c r="E15" s="69">
        <v>6587.0</v>
      </c>
      <c r="F15" s="69">
        <f t="shared" si="1"/>
        <v>301</v>
      </c>
      <c r="G15" s="69">
        <f t="shared" si="2"/>
        <v>4.788418708</v>
      </c>
      <c r="H15" s="70">
        <f t="shared" si="3"/>
        <v>0.4788418708</v>
      </c>
    </row>
    <row r="16">
      <c r="A16" s="66">
        <v>11.0</v>
      </c>
      <c r="B16" s="16" t="s">
        <v>19</v>
      </c>
      <c r="C16" s="67" t="s">
        <v>26</v>
      </c>
      <c r="D16" s="69">
        <v>5419.0</v>
      </c>
      <c r="E16" s="69">
        <v>8543.0</v>
      </c>
      <c r="F16" s="69">
        <f t="shared" si="1"/>
        <v>3124</v>
      </c>
      <c r="G16" s="69">
        <f t="shared" si="2"/>
        <v>57.64901273</v>
      </c>
      <c r="H16" s="70">
        <f t="shared" si="3"/>
        <v>5.764901273</v>
      </c>
    </row>
    <row r="17">
      <c r="A17" s="66">
        <v>12.0</v>
      </c>
      <c r="B17" s="16" t="s">
        <v>19</v>
      </c>
      <c r="C17" s="67" t="s">
        <v>27</v>
      </c>
      <c r="D17" s="69">
        <v>4714.0</v>
      </c>
      <c r="E17" s="69">
        <v>7171.0</v>
      </c>
      <c r="F17" s="69">
        <f t="shared" si="1"/>
        <v>2457</v>
      </c>
      <c r="G17" s="69">
        <f t="shared" si="2"/>
        <v>52.12134069</v>
      </c>
      <c r="H17" s="70">
        <f t="shared" si="3"/>
        <v>5.212134069</v>
      </c>
    </row>
    <row r="18">
      <c r="A18" s="66">
        <v>13.0</v>
      </c>
      <c r="B18" s="16" t="s">
        <v>19</v>
      </c>
      <c r="C18" s="67" t="s">
        <v>29</v>
      </c>
      <c r="D18" s="69">
        <v>7392.0</v>
      </c>
      <c r="E18" s="69">
        <v>5210.0</v>
      </c>
      <c r="F18" s="69">
        <f t="shared" si="1"/>
        <v>-2182</v>
      </c>
      <c r="G18" s="69">
        <f t="shared" si="2"/>
        <v>-29.51839827</v>
      </c>
      <c r="H18" s="70">
        <f t="shared" si="3"/>
        <v>0</v>
      </c>
    </row>
    <row r="19">
      <c r="A19" s="66">
        <v>14.0</v>
      </c>
      <c r="B19" s="16" t="s">
        <v>19</v>
      </c>
      <c r="C19" s="72" t="s">
        <v>20</v>
      </c>
      <c r="D19" s="73">
        <v>3195.0</v>
      </c>
      <c r="E19" s="73">
        <v>1847.0</v>
      </c>
      <c r="F19" s="69">
        <f t="shared" si="1"/>
        <v>-1348</v>
      </c>
      <c r="G19" s="69">
        <f t="shared" si="2"/>
        <v>-42.19092332</v>
      </c>
      <c r="H19" s="70">
        <f t="shared" si="3"/>
        <v>0</v>
      </c>
    </row>
    <row r="20">
      <c r="A20" s="66">
        <v>15.0</v>
      </c>
      <c r="B20" s="16" t="s">
        <v>19</v>
      </c>
      <c r="C20" s="72" t="s">
        <v>22</v>
      </c>
      <c r="D20" s="73">
        <v>1779.0</v>
      </c>
      <c r="E20" s="73">
        <v>1521.0</v>
      </c>
      <c r="F20" s="69">
        <f t="shared" si="1"/>
        <v>-258</v>
      </c>
      <c r="G20" s="69">
        <f t="shared" si="2"/>
        <v>-14.50252951</v>
      </c>
      <c r="H20" s="70">
        <f t="shared" si="3"/>
        <v>0</v>
      </c>
    </row>
    <row r="21">
      <c r="A21" s="66">
        <v>16.0</v>
      </c>
      <c r="B21" s="16" t="s">
        <v>19</v>
      </c>
      <c r="C21" s="72" t="s">
        <v>23</v>
      </c>
      <c r="D21" s="73">
        <v>1004.0</v>
      </c>
      <c r="E21" s="73">
        <v>1324.0</v>
      </c>
      <c r="F21" s="69">
        <f t="shared" si="1"/>
        <v>320</v>
      </c>
      <c r="G21" s="69">
        <f t="shared" si="2"/>
        <v>31.87250996</v>
      </c>
      <c r="H21" s="70">
        <f t="shared" si="3"/>
        <v>3.187250996</v>
      </c>
    </row>
    <row r="22">
      <c r="A22" s="66">
        <v>17.0</v>
      </c>
      <c r="B22" s="16" t="s">
        <v>19</v>
      </c>
      <c r="C22" s="72" t="s">
        <v>24</v>
      </c>
      <c r="D22" s="73">
        <v>1312.0</v>
      </c>
      <c r="E22" s="73">
        <v>1885.0</v>
      </c>
      <c r="F22" s="69">
        <f t="shared" si="1"/>
        <v>573</v>
      </c>
      <c r="G22" s="69">
        <f t="shared" si="2"/>
        <v>43.67378049</v>
      </c>
      <c r="H22" s="70">
        <f t="shared" si="3"/>
        <v>4.367378049</v>
      </c>
    </row>
    <row r="23">
      <c r="A23" s="66">
        <v>18.0</v>
      </c>
      <c r="B23" s="16" t="s">
        <v>19</v>
      </c>
      <c r="C23" s="72" t="s">
        <v>25</v>
      </c>
      <c r="D23" s="73">
        <v>1265.0</v>
      </c>
      <c r="E23" s="73">
        <v>1363.0</v>
      </c>
      <c r="F23" s="69">
        <f t="shared" si="1"/>
        <v>98</v>
      </c>
      <c r="G23" s="69">
        <f t="shared" si="2"/>
        <v>7.747035573</v>
      </c>
      <c r="H23" s="70">
        <f t="shared" si="3"/>
        <v>0.7747035573</v>
      </c>
    </row>
    <row r="24">
      <c r="A24" s="66">
        <v>19.0</v>
      </c>
      <c r="B24" s="16" t="s">
        <v>19</v>
      </c>
      <c r="C24" s="72" t="s">
        <v>28</v>
      </c>
      <c r="D24" s="73">
        <v>2451.0</v>
      </c>
      <c r="E24" s="73">
        <v>2757.0</v>
      </c>
      <c r="F24" s="69">
        <f t="shared" si="1"/>
        <v>306</v>
      </c>
      <c r="G24" s="69">
        <f t="shared" si="2"/>
        <v>12.48470012</v>
      </c>
      <c r="H24" s="70">
        <f t="shared" si="3"/>
        <v>1.248470012</v>
      </c>
    </row>
    <row r="25">
      <c r="A25" s="66">
        <v>20.0</v>
      </c>
      <c r="B25" s="16" t="s">
        <v>19</v>
      </c>
      <c r="C25" s="72" t="s">
        <v>111</v>
      </c>
      <c r="D25" s="73">
        <v>2091.0</v>
      </c>
      <c r="E25" s="73">
        <v>2034.0</v>
      </c>
      <c r="F25" s="69">
        <f t="shared" si="1"/>
        <v>-57</v>
      </c>
      <c r="G25" s="69">
        <f t="shared" si="2"/>
        <v>-2.725968436</v>
      </c>
      <c r="H25" s="70">
        <f t="shared" si="3"/>
        <v>0</v>
      </c>
    </row>
    <row r="26">
      <c r="A26" s="66">
        <v>21.0</v>
      </c>
      <c r="B26" s="16" t="s">
        <v>19</v>
      </c>
      <c r="C26" s="72" t="s">
        <v>30</v>
      </c>
      <c r="D26" s="73">
        <v>2060.0</v>
      </c>
      <c r="E26" s="73">
        <v>1551.0</v>
      </c>
      <c r="F26" s="69">
        <f t="shared" si="1"/>
        <v>-509</v>
      </c>
      <c r="G26" s="69">
        <f t="shared" si="2"/>
        <v>-24.70873786</v>
      </c>
      <c r="H26" s="70">
        <f t="shared" si="3"/>
        <v>0</v>
      </c>
    </row>
    <row r="27">
      <c r="A27" s="74"/>
      <c r="B27" s="16" t="s">
        <v>19</v>
      </c>
      <c r="C27" s="75" t="s">
        <v>31</v>
      </c>
      <c r="D27" s="76">
        <v>38968.0</v>
      </c>
      <c r="E27" s="76">
        <v>41793.0</v>
      </c>
      <c r="F27" s="77">
        <f t="shared" si="1"/>
        <v>2825</v>
      </c>
      <c r="G27" s="77">
        <f t="shared" si="2"/>
        <v>7.249538083</v>
      </c>
      <c r="H27" s="78">
        <f t="shared" si="3"/>
        <v>0.7249538083</v>
      </c>
    </row>
    <row r="28">
      <c r="A28" s="66">
        <v>22.0</v>
      </c>
      <c r="B28" s="16" t="s">
        <v>32</v>
      </c>
      <c r="C28" s="67" t="s">
        <v>34</v>
      </c>
      <c r="D28" s="69">
        <v>16748.0</v>
      </c>
      <c r="E28" s="69">
        <v>22256.0</v>
      </c>
      <c r="F28" s="69">
        <f t="shared" si="1"/>
        <v>5508</v>
      </c>
      <c r="G28" s="69">
        <f t="shared" si="2"/>
        <v>32.88750896</v>
      </c>
      <c r="H28" s="70">
        <f t="shared" si="3"/>
        <v>3.288750896</v>
      </c>
    </row>
    <row r="29">
      <c r="A29" s="66">
        <v>23.0</v>
      </c>
      <c r="B29" s="16" t="s">
        <v>32</v>
      </c>
      <c r="C29" s="67" t="s">
        <v>33</v>
      </c>
      <c r="D29" s="69">
        <v>20173.0</v>
      </c>
      <c r="E29" s="69">
        <v>67991.0</v>
      </c>
      <c r="F29" s="69">
        <f t="shared" si="1"/>
        <v>47818</v>
      </c>
      <c r="G29" s="69">
        <f t="shared" si="2"/>
        <v>237.0396074</v>
      </c>
      <c r="H29" s="70">
        <f t="shared" si="3"/>
        <v>10</v>
      </c>
    </row>
    <row r="30">
      <c r="A30" s="66">
        <v>24.0</v>
      </c>
      <c r="B30" s="16" t="s">
        <v>32</v>
      </c>
      <c r="C30" s="72" t="s">
        <v>112</v>
      </c>
      <c r="D30" s="73">
        <v>3146.0</v>
      </c>
      <c r="E30" s="73">
        <v>2960.0</v>
      </c>
      <c r="F30" s="69">
        <f t="shared" si="1"/>
        <v>-186</v>
      </c>
      <c r="G30" s="69">
        <f t="shared" si="2"/>
        <v>-5.912269549</v>
      </c>
      <c r="H30" s="70">
        <f t="shared" si="3"/>
        <v>0</v>
      </c>
    </row>
    <row r="31">
      <c r="A31" s="82"/>
      <c r="B31" s="16" t="s">
        <v>32</v>
      </c>
      <c r="C31" s="83" t="s">
        <v>121</v>
      </c>
      <c r="D31" s="84">
        <v>40067.0</v>
      </c>
      <c r="E31" s="84">
        <v>93207.0</v>
      </c>
      <c r="F31" s="85">
        <f t="shared" si="1"/>
        <v>53140</v>
      </c>
      <c r="G31" s="85">
        <f t="shared" si="2"/>
        <v>132.6278484</v>
      </c>
      <c r="H31" s="86">
        <f t="shared" si="3"/>
        <v>10</v>
      </c>
    </row>
    <row r="32">
      <c r="A32" s="66">
        <v>25.0</v>
      </c>
      <c r="B32" s="16" t="s">
        <v>36</v>
      </c>
      <c r="C32" s="67" t="s">
        <v>42</v>
      </c>
      <c r="D32" s="69">
        <v>4242.0</v>
      </c>
      <c r="E32" s="69">
        <v>3125.0</v>
      </c>
      <c r="F32" s="69">
        <f t="shared" si="1"/>
        <v>-1117</v>
      </c>
      <c r="G32" s="69">
        <f t="shared" si="2"/>
        <v>-26.33191891</v>
      </c>
      <c r="H32" s="70">
        <f t="shared" si="3"/>
        <v>0</v>
      </c>
    </row>
    <row r="33">
      <c r="A33" s="66">
        <v>26.0</v>
      </c>
      <c r="B33" s="16" t="s">
        <v>36</v>
      </c>
      <c r="C33" s="72" t="s">
        <v>37</v>
      </c>
      <c r="D33" s="73">
        <v>2454.0</v>
      </c>
      <c r="E33" s="73">
        <v>2824.0</v>
      </c>
      <c r="F33" s="69">
        <f t="shared" si="1"/>
        <v>370</v>
      </c>
      <c r="G33" s="69">
        <f t="shared" si="2"/>
        <v>15.07742461</v>
      </c>
      <c r="H33" s="70">
        <f t="shared" si="3"/>
        <v>1.507742461</v>
      </c>
    </row>
    <row r="34">
      <c r="A34" s="66">
        <v>27.0</v>
      </c>
      <c r="B34" s="16" t="s">
        <v>36</v>
      </c>
      <c r="C34" s="72" t="s">
        <v>38</v>
      </c>
      <c r="D34" s="73">
        <v>1169.0</v>
      </c>
      <c r="E34" s="73">
        <v>1099.0</v>
      </c>
      <c r="F34" s="69">
        <f t="shared" si="1"/>
        <v>-70</v>
      </c>
      <c r="G34" s="69">
        <f t="shared" si="2"/>
        <v>-5.988023952</v>
      </c>
      <c r="H34" s="70">
        <f t="shared" si="3"/>
        <v>0</v>
      </c>
    </row>
    <row r="35">
      <c r="A35" s="66">
        <v>28.0</v>
      </c>
      <c r="B35" s="16" t="s">
        <v>36</v>
      </c>
      <c r="C35" s="72" t="s">
        <v>39</v>
      </c>
      <c r="D35" s="73">
        <v>1551.0</v>
      </c>
      <c r="E35" s="73">
        <v>1624.0</v>
      </c>
      <c r="F35" s="69">
        <f t="shared" si="1"/>
        <v>73</v>
      </c>
      <c r="G35" s="69">
        <f t="shared" si="2"/>
        <v>4.706640877</v>
      </c>
      <c r="H35" s="70">
        <f t="shared" si="3"/>
        <v>0.4706640877</v>
      </c>
    </row>
    <row r="36">
      <c r="A36" s="66">
        <v>29.0</v>
      </c>
      <c r="B36" s="16" t="s">
        <v>36</v>
      </c>
      <c r="C36" s="72" t="s">
        <v>40</v>
      </c>
      <c r="D36" s="73">
        <v>2394.0</v>
      </c>
      <c r="E36" s="73">
        <v>1072.0</v>
      </c>
      <c r="F36" s="69">
        <f t="shared" si="1"/>
        <v>-1322</v>
      </c>
      <c r="G36" s="69">
        <f t="shared" si="2"/>
        <v>-55.2213868</v>
      </c>
      <c r="H36" s="70">
        <f t="shared" si="3"/>
        <v>0</v>
      </c>
    </row>
    <row r="37">
      <c r="A37" s="66">
        <v>30.0</v>
      </c>
      <c r="B37" s="16" t="s">
        <v>36</v>
      </c>
      <c r="C37" s="72" t="s">
        <v>41</v>
      </c>
      <c r="D37" s="73">
        <v>1466.0</v>
      </c>
      <c r="E37" s="73">
        <v>1556.0</v>
      </c>
      <c r="F37" s="69">
        <f t="shared" si="1"/>
        <v>90</v>
      </c>
      <c r="G37" s="69">
        <f t="shared" si="2"/>
        <v>6.139154161</v>
      </c>
      <c r="H37" s="70">
        <f t="shared" si="3"/>
        <v>0.6139154161</v>
      </c>
    </row>
    <row r="38">
      <c r="A38" s="66">
        <v>31.0</v>
      </c>
      <c r="B38" s="16" t="s">
        <v>36</v>
      </c>
      <c r="C38" s="72" t="s">
        <v>113</v>
      </c>
      <c r="D38" s="73">
        <v>856.0</v>
      </c>
      <c r="E38" s="73">
        <v>1136.0</v>
      </c>
      <c r="F38" s="69">
        <f t="shared" si="1"/>
        <v>280</v>
      </c>
      <c r="G38" s="69">
        <f t="shared" si="2"/>
        <v>32.71028037</v>
      </c>
      <c r="H38" s="70">
        <f t="shared" si="3"/>
        <v>3.271028037</v>
      </c>
    </row>
    <row r="39">
      <c r="A39" s="89"/>
      <c r="B39" s="16" t="s">
        <v>36</v>
      </c>
      <c r="C39" s="90" t="s">
        <v>43</v>
      </c>
      <c r="D39" s="90">
        <v>14132.0</v>
      </c>
      <c r="E39" s="90">
        <v>12436.0</v>
      </c>
      <c r="F39" s="77">
        <f t="shared" si="1"/>
        <v>-1696</v>
      </c>
      <c r="G39" s="77">
        <f t="shared" si="2"/>
        <v>-12.00113218</v>
      </c>
      <c r="H39" s="78">
        <f t="shared" si="3"/>
        <v>0</v>
      </c>
    </row>
    <row r="40">
      <c r="A40" s="66">
        <v>32.0</v>
      </c>
      <c r="B40" s="16" t="s">
        <v>44</v>
      </c>
      <c r="C40" s="67" t="s">
        <v>46</v>
      </c>
      <c r="D40" s="69">
        <v>4641.0</v>
      </c>
      <c r="E40" s="69">
        <v>4605.0</v>
      </c>
      <c r="F40" s="69">
        <f t="shared" si="1"/>
        <v>-36</v>
      </c>
      <c r="G40" s="69">
        <f t="shared" si="2"/>
        <v>-0.7756948933</v>
      </c>
      <c r="H40" s="70">
        <f t="shared" si="3"/>
        <v>0</v>
      </c>
    </row>
    <row r="41">
      <c r="A41" s="66">
        <v>33.0</v>
      </c>
      <c r="B41" s="16" t="s">
        <v>44</v>
      </c>
      <c r="C41" s="67" t="s">
        <v>48</v>
      </c>
      <c r="D41" s="69">
        <v>6668.0</v>
      </c>
      <c r="E41" s="69">
        <v>6473.0</v>
      </c>
      <c r="F41" s="69">
        <f t="shared" si="1"/>
        <v>-195</v>
      </c>
      <c r="G41" s="69">
        <f t="shared" si="2"/>
        <v>-2.924415117</v>
      </c>
      <c r="H41" s="70">
        <f t="shared" si="3"/>
        <v>0</v>
      </c>
    </row>
    <row r="42">
      <c r="A42" s="66">
        <v>34.0</v>
      </c>
      <c r="B42" s="16" t="s">
        <v>44</v>
      </c>
      <c r="C42" s="67" t="s">
        <v>49</v>
      </c>
      <c r="D42" s="69">
        <v>3272.0</v>
      </c>
      <c r="E42" s="69">
        <v>3478.0</v>
      </c>
      <c r="F42" s="69">
        <f t="shared" si="1"/>
        <v>206</v>
      </c>
      <c r="G42" s="69">
        <f t="shared" si="2"/>
        <v>6.295843521</v>
      </c>
      <c r="H42" s="70">
        <f t="shared" si="3"/>
        <v>0.6295843521</v>
      </c>
    </row>
    <row r="43">
      <c r="A43" s="66">
        <v>35.0</v>
      </c>
      <c r="B43" s="16" t="s">
        <v>44</v>
      </c>
      <c r="C43" s="72" t="s">
        <v>45</v>
      </c>
      <c r="D43" s="73">
        <v>1932.0</v>
      </c>
      <c r="E43" s="73">
        <v>1356.0</v>
      </c>
      <c r="F43" s="69">
        <f t="shared" si="1"/>
        <v>-576</v>
      </c>
      <c r="G43" s="69">
        <f t="shared" si="2"/>
        <v>-29.8136646</v>
      </c>
      <c r="H43" s="70">
        <f t="shared" si="3"/>
        <v>0</v>
      </c>
    </row>
    <row r="44">
      <c r="A44" s="66">
        <v>36.0</v>
      </c>
      <c r="B44" s="16" t="s">
        <v>44</v>
      </c>
      <c r="C44" s="72" t="s">
        <v>47</v>
      </c>
      <c r="D44" s="73">
        <v>550.0</v>
      </c>
      <c r="E44" s="73">
        <v>615.0</v>
      </c>
      <c r="F44" s="69">
        <f t="shared" si="1"/>
        <v>65</v>
      </c>
      <c r="G44" s="69">
        <f t="shared" si="2"/>
        <v>11.81818182</v>
      </c>
      <c r="H44" s="70">
        <f t="shared" si="3"/>
        <v>1.181818182</v>
      </c>
    </row>
    <row r="45">
      <c r="A45" s="66">
        <v>37.0</v>
      </c>
      <c r="B45" s="16" t="s">
        <v>44</v>
      </c>
      <c r="C45" s="72" t="s">
        <v>50</v>
      </c>
      <c r="D45" s="73">
        <v>4675.0</v>
      </c>
      <c r="E45" s="73">
        <v>4381.0</v>
      </c>
      <c r="F45" s="69">
        <f t="shared" si="1"/>
        <v>-294</v>
      </c>
      <c r="G45" s="69">
        <f t="shared" si="2"/>
        <v>-6.288770053</v>
      </c>
      <c r="H45" s="70">
        <f t="shared" si="3"/>
        <v>0</v>
      </c>
    </row>
    <row r="46">
      <c r="A46" s="66">
        <v>38.0</v>
      </c>
      <c r="B46" s="16" t="s">
        <v>44</v>
      </c>
      <c r="C46" s="72" t="s">
        <v>114</v>
      </c>
      <c r="D46" s="73">
        <v>820.0</v>
      </c>
      <c r="E46" s="73">
        <v>1518.0</v>
      </c>
      <c r="F46" s="69">
        <f t="shared" si="1"/>
        <v>698</v>
      </c>
      <c r="G46" s="69">
        <f t="shared" si="2"/>
        <v>85.12195122</v>
      </c>
      <c r="H46" s="70">
        <f t="shared" si="3"/>
        <v>8.512195122</v>
      </c>
    </row>
    <row r="47">
      <c r="A47" s="74"/>
      <c r="B47" s="16" t="s">
        <v>44</v>
      </c>
      <c r="C47" s="90" t="s">
        <v>51</v>
      </c>
      <c r="D47" s="76">
        <v>22558.0</v>
      </c>
      <c r="E47" s="76">
        <v>22426.0</v>
      </c>
      <c r="F47" s="77">
        <f t="shared" si="1"/>
        <v>-132</v>
      </c>
      <c r="G47" s="77">
        <f t="shared" si="2"/>
        <v>-0.5851582587</v>
      </c>
      <c r="H47" s="78">
        <f t="shared" si="3"/>
        <v>0</v>
      </c>
    </row>
    <row r="48">
      <c r="A48" s="66">
        <v>39.0</v>
      </c>
      <c r="B48" s="16" t="s">
        <v>52</v>
      </c>
      <c r="C48" s="67" t="s">
        <v>53</v>
      </c>
      <c r="D48" s="69">
        <v>2466.0</v>
      </c>
      <c r="E48" s="69">
        <v>3409.0</v>
      </c>
      <c r="F48" s="69">
        <f t="shared" si="1"/>
        <v>943</v>
      </c>
      <c r="G48" s="69">
        <f t="shared" si="2"/>
        <v>38.24006488</v>
      </c>
      <c r="H48" s="70">
        <f t="shared" si="3"/>
        <v>3.824006488</v>
      </c>
    </row>
    <row r="49">
      <c r="A49" s="66">
        <v>40.0</v>
      </c>
      <c r="B49" s="16" t="s">
        <v>52</v>
      </c>
      <c r="C49" s="67" t="s">
        <v>55</v>
      </c>
      <c r="D49" s="69">
        <v>19978.0</v>
      </c>
      <c r="E49" s="69">
        <v>20638.0</v>
      </c>
      <c r="F49" s="69">
        <f t="shared" si="1"/>
        <v>660</v>
      </c>
      <c r="G49" s="69">
        <f t="shared" si="2"/>
        <v>3.303633997</v>
      </c>
      <c r="H49" s="70">
        <f t="shared" si="3"/>
        <v>0.3303633997</v>
      </c>
    </row>
    <row r="50">
      <c r="A50" s="66">
        <v>41.0</v>
      </c>
      <c r="B50" s="16" t="s">
        <v>52</v>
      </c>
      <c r="C50" s="67" t="s">
        <v>56</v>
      </c>
      <c r="D50" s="69">
        <v>10782.0</v>
      </c>
      <c r="E50" s="69">
        <v>11570.0</v>
      </c>
      <c r="F50" s="69">
        <f t="shared" si="1"/>
        <v>788</v>
      </c>
      <c r="G50" s="69">
        <f t="shared" si="2"/>
        <v>7.308477091</v>
      </c>
      <c r="H50" s="70">
        <f t="shared" si="3"/>
        <v>0.7308477091</v>
      </c>
    </row>
    <row r="51">
      <c r="A51" s="66">
        <v>42.0</v>
      </c>
      <c r="B51" s="16" t="s">
        <v>52</v>
      </c>
      <c r="C51" s="67" t="s">
        <v>58</v>
      </c>
      <c r="D51" s="69">
        <v>1102.0</v>
      </c>
      <c r="E51" s="69">
        <v>1361.0</v>
      </c>
      <c r="F51" s="69">
        <f t="shared" si="1"/>
        <v>259</v>
      </c>
      <c r="G51" s="69">
        <f t="shared" si="2"/>
        <v>23.50272232</v>
      </c>
      <c r="H51" s="70">
        <f t="shared" si="3"/>
        <v>2.350272232</v>
      </c>
    </row>
    <row r="52">
      <c r="A52" s="66">
        <v>43.0</v>
      </c>
      <c r="B52" s="16" t="s">
        <v>52</v>
      </c>
      <c r="C52" s="72" t="s">
        <v>54</v>
      </c>
      <c r="D52" s="73">
        <v>906.0</v>
      </c>
      <c r="E52" s="73">
        <v>872.0</v>
      </c>
      <c r="F52" s="69">
        <f t="shared" si="1"/>
        <v>-34</v>
      </c>
      <c r="G52" s="69">
        <f t="shared" si="2"/>
        <v>-3.752759382</v>
      </c>
      <c r="H52" s="70">
        <f t="shared" si="3"/>
        <v>0</v>
      </c>
    </row>
    <row r="53">
      <c r="A53" s="66">
        <v>44.0</v>
      </c>
      <c r="B53" s="16" t="s">
        <v>52</v>
      </c>
      <c r="C53" s="72" t="s">
        <v>57</v>
      </c>
      <c r="D53" s="73">
        <v>1183.0</v>
      </c>
      <c r="E53" s="73">
        <v>936.0</v>
      </c>
      <c r="F53" s="69">
        <f t="shared" si="1"/>
        <v>-247</v>
      </c>
      <c r="G53" s="69">
        <f t="shared" si="2"/>
        <v>-20.87912088</v>
      </c>
      <c r="H53" s="70">
        <f t="shared" si="3"/>
        <v>0</v>
      </c>
    </row>
    <row r="54">
      <c r="A54" s="66">
        <v>45.0</v>
      </c>
      <c r="B54" s="16" t="s">
        <v>52</v>
      </c>
      <c r="C54" s="72" t="s">
        <v>115</v>
      </c>
      <c r="D54" s="73">
        <v>2024.0</v>
      </c>
      <c r="E54" s="73">
        <v>2041.0</v>
      </c>
      <c r="F54" s="69">
        <f t="shared" si="1"/>
        <v>17</v>
      </c>
      <c r="G54" s="69">
        <f t="shared" si="2"/>
        <v>0.8399209486</v>
      </c>
      <c r="H54" s="70">
        <f t="shared" si="3"/>
        <v>0.08399209486</v>
      </c>
    </row>
    <row r="55">
      <c r="A55" s="74"/>
      <c r="B55" s="16" t="s">
        <v>52</v>
      </c>
      <c r="C55" s="90" t="s">
        <v>52</v>
      </c>
      <c r="D55" s="76">
        <v>38441.0</v>
      </c>
      <c r="E55" s="76">
        <v>40827.0</v>
      </c>
      <c r="F55" s="77">
        <f t="shared" si="1"/>
        <v>2386</v>
      </c>
      <c r="G55" s="77">
        <f t="shared" si="2"/>
        <v>6.206914492</v>
      </c>
      <c r="H55" s="78">
        <f t="shared" si="3"/>
        <v>0.6206914492</v>
      </c>
    </row>
    <row r="56">
      <c r="A56" s="66">
        <v>46.0</v>
      </c>
      <c r="B56" s="16" t="s">
        <v>60</v>
      </c>
      <c r="C56" s="67" t="s">
        <v>61</v>
      </c>
      <c r="D56" s="69">
        <v>1355.0</v>
      </c>
      <c r="E56" s="69">
        <v>1522.0</v>
      </c>
      <c r="F56" s="69">
        <f t="shared" si="1"/>
        <v>167</v>
      </c>
      <c r="G56" s="69">
        <f t="shared" si="2"/>
        <v>12.32472325</v>
      </c>
      <c r="H56" s="70">
        <f t="shared" si="3"/>
        <v>1.232472325</v>
      </c>
    </row>
    <row r="57">
      <c r="A57" s="66">
        <v>47.0</v>
      </c>
      <c r="B57" s="16" t="s">
        <v>60</v>
      </c>
      <c r="C57" s="67" t="s">
        <v>63</v>
      </c>
      <c r="D57" s="69">
        <v>17786.0</v>
      </c>
      <c r="E57" s="69">
        <v>15548.0</v>
      </c>
      <c r="F57" s="69">
        <f t="shared" si="1"/>
        <v>-2238</v>
      </c>
      <c r="G57" s="69">
        <f t="shared" si="2"/>
        <v>-12.58293039</v>
      </c>
      <c r="H57" s="70">
        <f t="shared" si="3"/>
        <v>0</v>
      </c>
    </row>
    <row r="58">
      <c r="A58" s="66">
        <v>48.0</v>
      </c>
      <c r="B58" s="16" t="s">
        <v>60</v>
      </c>
      <c r="C58" s="72" t="s">
        <v>62</v>
      </c>
      <c r="D58" s="73">
        <v>1015.0</v>
      </c>
      <c r="E58" s="73">
        <v>1370.0</v>
      </c>
      <c r="F58" s="69">
        <f t="shared" si="1"/>
        <v>355</v>
      </c>
      <c r="G58" s="69">
        <f t="shared" si="2"/>
        <v>34.97536946</v>
      </c>
      <c r="H58" s="70">
        <f t="shared" si="3"/>
        <v>3.497536946</v>
      </c>
    </row>
    <row r="59">
      <c r="A59" s="66">
        <v>49.0</v>
      </c>
      <c r="B59" s="16" t="s">
        <v>60</v>
      </c>
      <c r="C59" s="72" t="s">
        <v>116</v>
      </c>
      <c r="D59" s="73">
        <v>2726.0</v>
      </c>
      <c r="E59" s="73">
        <v>1607.0</v>
      </c>
      <c r="F59" s="69">
        <f t="shared" si="1"/>
        <v>-1119</v>
      </c>
      <c r="G59" s="69">
        <f t="shared" si="2"/>
        <v>-41.04915627</v>
      </c>
      <c r="H59" s="70">
        <f t="shared" si="3"/>
        <v>0</v>
      </c>
    </row>
    <row r="60">
      <c r="A60" s="66">
        <v>50.0</v>
      </c>
      <c r="B60" s="16" t="s">
        <v>60</v>
      </c>
      <c r="C60" s="72" t="s">
        <v>64</v>
      </c>
      <c r="D60" s="73">
        <v>1150.0</v>
      </c>
      <c r="E60" s="73">
        <v>1182.0</v>
      </c>
      <c r="F60" s="69">
        <f t="shared" si="1"/>
        <v>32</v>
      </c>
      <c r="G60" s="69">
        <f t="shared" si="2"/>
        <v>2.782608696</v>
      </c>
      <c r="H60" s="70">
        <f t="shared" si="3"/>
        <v>0.2782608696</v>
      </c>
    </row>
    <row r="61">
      <c r="A61" s="74"/>
      <c r="B61" s="16" t="s">
        <v>60</v>
      </c>
      <c r="C61" s="90" t="s">
        <v>65</v>
      </c>
      <c r="D61" s="76">
        <v>24032.0</v>
      </c>
      <c r="E61" s="76">
        <v>21229.0</v>
      </c>
      <c r="F61" s="77">
        <f t="shared" si="1"/>
        <v>-2803</v>
      </c>
      <c r="G61" s="77">
        <f t="shared" si="2"/>
        <v>-11.66361518</v>
      </c>
      <c r="H61" s="78">
        <f t="shared" si="3"/>
        <v>0</v>
      </c>
    </row>
    <row r="62">
      <c r="A62" s="66">
        <v>51.0</v>
      </c>
      <c r="B62" s="16" t="s">
        <v>66</v>
      </c>
      <c r="C62" s="67" t="s">
        <v>70</v>
      </c>
      <c r="D62" s="69">
        <v>4579.0</v>
      </c>
      <c r="E62" s="69">
        <v>3498.0</v>
      </c>
      <c r="F62" s="69">
        <f t="shared" si="1"/>
        <v>-1081</v>
      </c>
      <c r="G62" s="69">
        <f t="shared" si="2"/>
        <v>-23.60777462</v>
      </c>
      <c r="H62" s="70">
        <f t="shared" si="3"/>
        <v>0</v>
      </c>
    </row>
    <row r="63">
      <c r="A63" s="66">
        <v>52.0</v>
      </c>
      <c r="B63" s="16" t="s">
        <v>66</v>
      </c>
      <c r="C63" s="67" t="s">
        <v>71</v>
      </c>
      <c r="D63" s="69">
        <v>2947.0</v>
      </c>
      <c r="E63" s="69">
        <v>3778.0</v>
      </c>
      <c r="F63" s="69">
        <f t="shared" si="1"/>
        <v>831</v>
      </c>
      <c r="G63" s="69">
        <f t="shared" si="2"/>
        <v>28.19816763</v>
      </c>
      <c r="H63" s="70">
        <f t="shared" si="3"/>
        <v>2.819816763</v>
      </c>
    </row>
    <row r="64">
      <c r="A64" s="66">
        <v>53.0</v>
      </c>
      <c r="B64" s="16" t="s">
        <v>66</v>
      </c>
      <c r="C64" s="72" t="s">
        <v>67</v>
      </c>
      <c r="D64" s="73">
        <v>895.0</v>
      </c>
      <c r="E64" s="73">
        <v>794.0</v>
      </c>
      <c r="F64" s="69">
        <f t="shared" si="1"/>
        <v>-101</v>
      </c>
      <c r="G64" s="69">
        <f t="shared" si="2"/>
        <v>-11.2849162</v>
      </c>
      <c r="H64" s="70">
        <f t="shared" si="3"/>
        <v>0</v>
      </c>
    </row>
    <row r="65">
      <c r="A65" s="66">
        <v>54.0</v>
      </c>
      <c r="B65" s="16" t="s">
        <v>66</v>
      </c>
      <c r="C65" s="72" t="s">
        <v>68</v>
      </c>
      <c r="D65" s="73">
        <v>1035.0</v>
      </c>
      <c r="E65" s="73">
        <v>996.0</v>
      </c>
      <c r="F65" s="69">
        <f t="shared" si="1"/>
        <v>-39</v>
      </c>
      <c r="G65" s="69">
        <f t="shared" si="2"/>
        <v>-3.768115942</v>
      </c>
      <c r="H65" s="70">
        <f t="shared" si="3"/>
        <v>0</v>
      </c>
    </row>
    <row r="66">
      <c r="A66" s="66">
        <v>55.0</v>
      </c>
      <c r="B66" s="16" t="s">
        <v>66</v>
      </c>
      <c r="C66" s="72" t="s">
        <v>69</v>
      </c>
      <c r="D66" s="73">
        <v>936.0</v>
      </c>
      <c r="E66" s="73">
        <v>1211.0</v>
      </c>
      <c r="F66" s="69">
        <f t="shared" si="1"/>
        <v>275</v>
      </c>
      <c r="G66" s="69">
        <f t="shared" si="2"/>
        <v>29.38034188</v>
      </c>
      <c r="H66" s="70">
        <f t="shared" si="3"/>
        <v>2.938034188</v>
      </c>
    </row>
    <row r="67">
      <c r="A67" s="74"/>
      <c r="B67" s="16" t="s">
        <v>66</v>
      </c>
      <c r="C67" s="90" t="s">
        <v>72</v>
      </c>
      <c r="D67" s="76">
        <v>10392.0</v>
      </c>
      <c r="E67" s="76">
        <v>10277.0</v>
      </c>
      <c r="F67" s="77">
        <f t="shared" si="1"/>
        <v>-115</v>
      </c>
      <c r="G67" s="77">
        <f t="shared" si="2"/>
        <v>-1.106620477</v>
      </c>
      <c r="H67" s="78">
        <f t="shared" si="3"/>
        <v>0</v>
      </c>
    </row>
    <row r="68">
      <c r="A68" s="94">
        <v>56.0</v>
      </c>
      <c r="B68" s="95" t="s">
        <v>73</v>
      </c>
      <c r="C68" s="96" t="s">
        <v>117</v>
      </c>
      <c r="D68" s="94">
        <v>225046.0</v>
      </c>
      <c r="E68" s="94">
        <v>276126.0</v>
      </c>
      <c r="F68" s="77">
        <f t="shared" si="1"/>
        <v>51080</v>
      </c>
      <c r="G68" s="77">
        <f t="shared" si="2"/>
        <v>22.69758183</v>
      </c>
      <c r="H68" s="78">
        <f t="shared" si="3"/>
        <v>2.269758183</v>
      </c>
    </row>
  </sheetData>
  <mergeCells count="5">
    <mergeCell ref="A1:H1"/>
    <mergeCell ref="A2:A4"/>
    <mergeCell ref="B2:B4"/>
    <mergeCell ref="C2:C4"/>
    <mergeCell ref="D2:H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104" t="s">
        <v>89</v>
      </c>
      <c r="B1" s="51"/>
      <c r="C1" s="51"/>
      <c r="D1" s="51"/>
      <c r="E1" s="51"/>
      <c r="F1" s="52"/>
      <c r="G1" s="105"/>
      <c r="H1" s="105"/>
      <c r="I1" s="105"/>
      <c r="J1" s="105"/>
    </row>
    <row r="2">
      <c r="A2" s="106"/>
      <c r="B2" s="107"/>
      <c r="G2" s="105"/>
      <c r="H2" s="105"/>
      <c r="I2" s="105"/>
      <c r="J2" s="105"/>
    </row>
    <row r="3">
      <c r="A3" s="6" t="s">
        <v>122</v>
      </c>
    </row>
    <row r="4">
      <c r="A4" s="108" t="s">
        <v>123</v>
      </c>
      <c r="B4" s="52"/>
      <c r="C4" s="109" t="s">
        <v>124</v>
      </c>
      <c r="D4" s="109" t="s">
        <v>125</v>
      </c>
      <c r="E4" s="109" t="s">
        <v>126</v>
      </c>
      <c r="F4" s="109" t="s">
        <v>127</v>
      </c>
    </row>
    <row r="5">
      <c r="A5" s="7" t="s">
        <v>4</v>
      </c>
      <c r="B5" s="7" t="s">
        <v>5</v>
      </c>
      <c r="C5" s="8" t="s">
        <v>8</v>
      </c>
      <c r="D5" s="8" t="s">
        <v>8</v>
      </c>
      <c r="E5" s="8" t="s">
        <v>8</v>
      </c>
      <c r="F5" s="110" t="s">
        <v>8</v>
      </c>
      <c r="G5" s="7" t="s">
        <v>128</v>
      </c>
    </row>
    <row r="6">
      <c r="A6" s="9" t="s">
        <v>129</v>
      </c>
      <c r="B6" s="111" t="s">
        <v>10</v>
      </c>
      <c r="C6" s="14">
        <v>0.0459</v>
      </c>
      <c r="D6" s="14">
        <v>0.257</v>
      </c>
      <c r="E6" s="14">
        <v>0.3421</v>
      </c>
      <c r="F6" s="14">
        <v>0.209</v>
      </c>
      <c r="G6" s="112">
        <f t="shared" ref="G6:G62" si="1">F6*6</f>
        <v>1.254</v>
      </c>
      <c r="H6" s="71"/>
    </row>
    <row r="7">
      <c r="A7" s="9" t="s">
        <v>129</v>
      </c>
      <c r="B7" s="111" t="s">
        <v>11</v>
      </c>
      <c r="C7" s="14">
        <v>0.0198</v>
      </c>
      <c r="D7" s="14">
        <v>0.1106</v>
      </c>
      <c r="E7" s="14">
        <v>0.2513</v>
      </c>
      <c r="F7" s="113">
        <v>0.1236</v>
      </c>
      <c r="G7" s="112">
        <f t="shared" si="1"/>
        <v>0.7416</v>
      </c>
      <c r="H7" s="71"/>
    </row>
    <row r="8">
      <c r="A8" s="9" t="s">
        <v>129</v>
      </c>
      <c r="B8" s="111" t="s">
        <v>12</v>
      </c>
      <c r="C8" s="14">
        <v>0.0</v>
      </c>
      <c r="D8" s="14">
        <v>0.0781</v>
      </c>
      <c r="E8" s="14">
        <v>0.2609</v>
      </c>
      <c r="F8" s="14">
        <v>0.1409</v>
      </c>
      <c r="G8" s="112">
        <f t="shared" si="1"/>
        <v>0.8454</v>
      </c>
      <c r="H8" s="71"/>
    </row>
    <row r="9">
      <c r="A9" s="9" t="s">
        <v>129</v>
      </c>
      <c r="B9" s="111" t="s">
        <v>13</v>
      </c>
      <c r="C9" s="14">
        <v>0.0088</v>
      </c>
      <c r="D9" s="14">
        <v>0.0734</v>
      </c>
      <c r="E9" s="14">
        <v>0.7292</v>
      </c>
      <c r="F9" s="14">
        <v>0.2476</v>
      </c>
      <c r="G9" s="112">
        <f t="shared" si="1"/>
        <v>1.4856</v>
      </c>
      <c r="H9" s="71"/>
    </row>
    <row r="10">
      <c r="A10" s="9" t="s">
        <v>129</v>
      </c>
      <c r="B10" s="111" t="s">
        <v>14</v>
      </c>
      <c r="C10" s="14">
        <v>0.0204</v>
      </c>
      <c r="D10" s="14">
        <v>0.2472</v>
      </c>
      <c r="E10" s="14">
        <v>0.6949</v>
      </c>
      <c r="F10" s="14">
        <v>0.2642</v>
      </c>
      <c r="G10" s="112">
        <f t="shared" si="1"/>
        <v>1.5852</v>
      </c>
      <c r="H10" s="71"/>
    </row>
    <row r="11">
      <c r="A11" s="9" t="s">
        <v>129</v>
      </c>
      <c r="B11" s="111" t="s">
        <v>15</v>
      </c>
      <c r="C11" s="14">
        <v>0.0373</v>
      </c>
      <c r="D11" s="14">
        <v>0.187</v>
      </c>
      <c r="E11" s="14">
        <v>0.4314</v>
      </c>
      <c r="F11" s="14">
        <v>0.2074</v>
      </c>
      <c r="G11" s="112">
        <f t="shared" si="1"/>
        <v>1.2444</v>
      </c>
      <c r="H11" s="71"/>
    </row>
    <row r="12">
      <c r="A12" s="9" t="s">
        <v>129</v>
      </c>
      <c r="B12" s="111" t="s">
        <v>16</v>
      </c>
      <c r="C12" s="14">
        <v>0.036</v>
      </c>
      <c r="D12" s="14">
        <v>0.1458</v>
      </c>
      <c r="E12" s="14">
        <v>0.3172</v>
      </c>
      <c r="F12" s="14">
        <v>0.1682</v>
      </c>
      <c r="G12" s="112">
        <f t="shared" si="1"/>
        <v>1.0092</v>
      </c>
      <c r="H12" s="71"/>
    </row>
    <row r="13">
      <c r="A13" s="9" t="s">
        <v>129</v>
      </c>
      <c r="B13" s="111" t="s">
        <v>17</v>
      </c>
      <c r="C13" s="14">
        <v>0.0</v>
      </c>
      <c r="D13" s="14">
        <v>0.1406</v>
      </c>
      <c r="E13" s="14">
        <v>0.3228</v>
      </c>
      <c r="F13" s="14">
        <v>0.1618</v>
      </c>
      <c r="G13" s="112">
        <f t="shared" si="1"/>
        <v>0.9708</v>
      </c>
      <c r="H13" s="71"/>
    </row>
    <row r="14">
      <c r="A14" s="9" t="s">
        <v>129</v>
      </c>
      <c r="B14" s="114" t="s">
        <v>18</v>
      </c>
      <c r="C14" s="18">
        <v>0.0247</v>
      </c>
      <c r="D14" s="18">
        <v>0.1584</v>
      </c>
      <c r="E14" s="18">
        <v>0.3737</v>
      </c>
      <c r="F14" s="18">
        <v>0.1839</v>
      </c>
      <c r="G14" s="115">
        <f t="shared" si="1"/>
        <v>1.1034</v>
      </c>
      <c r="H14" s="71"/>
    </row>
    <row r="15">
      <c r="A15" s="19" t="s">
        <v>52</v>
      </c>
      <c r="B15" s="111" t="s">
        <v>53</v>
      </c>
      <c r="C15" s="14">
        <v>0.0</v>
      </c>
      <c r="D15" s="14">
        <v>0.0432</v>
      </c>
      <c r="E15" s="14">
        <v>0.296</v>
      </c>
      <c r="F15" s="113">
        <v>0.0926</v>
      </c>
      <c r="G15" s="112">
        <f t="shared" si="1"/>
        <v>0.5556</v>
      </c>
      <c r="H15" s="71"/>
    </row>
    <row r="16">
      <c r="A16" s="19" t="s">
        <v>52</v>
      </c>
      <c r="B16" s="111" t="s">
        <v>54</v>
      </c>
      <c r="C16" s="14">
        <v>0.0</v>
      </c>
      <c r="D16" s="14">
        <v>0.0388</v>
      </c>
      <c r="E16" s="14">
        <v>0.1818</v>
      </c>
      <c r="F16" s="113">
        <v>0.0557</v>
      </c>
      <c r="G16" s="112">
        <f t="shared" si="1"/>
        <v>0.3342</v>
      </c>
      <c r="H16" s="71"/>
    </row>
    <row r="17">
      <c r="A17" s="19" t="s">
        <v>52</v>
      </c>
      <c r="B17" s="111" t="s">
        <v>55</v>
      </c>
      <c r="C17" s="14">
        <v>0.0</v>
      </c>
      <c r="D17" s="14">
        <v>0.0493</v>
      </c>
      <c r="E17" s="14">
        <v>0.2319</v>
      </c>
      <c r="F17" s="113">
        <v>0.0771</v>
      </c>
      <c r="G17" s="112">
        <f t="shared" si="1"/>
        <v>0.4626</v>
      </c>
      <c r="H17" s="71"/>
    </row>
    <row r="18">
      <c r="A18" s="19" t="s">
        <v>52</v>
      </c>
      <c r="B18" s="111" t="s">
        <v>56</v>
      </c>
      <c r="C18" s="14">
        <v>0.0</v>
      </c>
      <c r="D18" s="14">
        <v>0.1129</v>
      </c>
      <c r="E18" s="14">
        <v>0.6866</v>
      </c>
      <c r="F18" s="14">
        <v>0.2746</v>
      </c>
      <c r="G18" s="112">
        <f t="shared" si="1"/>
        <v>1.6476</v>
      </c>
      <c r="H18" s="71"/>
    </row>
    <row r="19">
      <c r="A19" s="19" t="s">
        <v>52</v>
      </c>
      <c r="B19" s="111" t="s">
        <v>57</v>
      </c>
      <c r="C19" s="14">
        <v>0.0</v>
      </c>
      <c r="D19" s="14">
        <v>0.0183</v>
      </c>
      <c r="E19" s="14">
        <v>0.1948</v>
      </c>
      <c r="F19" s="113">
        <v>0.0515</v>
      </c>
      <c r="G19" s="112">
        <f t="shared" si="1"/>
        <v>0.309</v>
      </c>
      <c r="H19" s="71"/>
    </row>
    <row r="20">
      <c r="A20" s="19" t="s">
        <v>52</v>
      </c>
      <c r="B20" s="111" t="s">
        <v>58</v>
      </c>
      <c r="C20" s="14">
        <v>0.0</v>
      </c>
      <c r="D20" s="14">
        <v>0.0667</v>
      </c>
      <c r="E20" s="14">
        <v>0.1887</v>
      </c>
      <c r="F20" s="113">
        <v>0.0759</v>
      </c>
      <c r="G20" s="112">
        <f t="shared" si="1"/>
        <v>0.4554</v>
      </c>
      <c r="H20" s="71"/>
    </row>
    <row r="21">
      <c r="A21" s="19" t="s">
        <v>52</v>
      </c>
      <c r="B21" s="116" t="s">
        <v>59</v>
      </c>
      <c r="C21" s="18">
        <v>0.0</v>
      </c>
      <c r="D21" s="18">
        <v>0.0507</v>
      </c>
      <c r="E21" s="18">
        <v>0.2798</v>
      </c>
      <c r="F21" s="117">
        <v>0.0907</v>
      </c>
      <c r="G21" s="115">
        <f t="shared" si="1"/>
        <v>0.5442</v>
      </c>
      <c r="H21" s="71"/>
    </row>
    <row r="22">
      <c r="A22" s="19" t="s">
        <v>130</v>
      </c>
      <c r="B22" s="118" t="s">
        <v>37</v>
      </c>
      <c r="C22" s="14">
        <v>0.0071</v>
      </c>
      <c r="D22" s="14">
        <v>0.0183</v>
      </c>
      <c r="E22" s="14">
        <v>0.0423</v>
      </c>
      <c r="F22" s="113">
        <v>0.0187</v>
      </c>
      <c r="G22" s="112">
        <f t="shared" si="1"/>
        <v>0.1122</v>
      </c>
      <c r="H22" s="71"/>
    </row>
    <row r="23">
      <c r="A23" s="19" t="s">
        <v>130</v>
      </c>
      <c r="B23" s="111" t="s">
        <v>38</v>
      </c>
      <c r="C23" s="14">
        <v>0.0</v>
      </c>
      <c r="D23" s="14">
        <v>0.0226</v>
      </c>
      <c r="E23" s="14">
        <v>0.1149</v>
      </c>
      <c r="F23" s="113">
        <v>0.0379</v>
      </c>
      <c r="G23" s="112">
        <f t="shared" si="1"/>
        <v>0.2274</v>
      </c>
      <c r="H23" s="71"/>
    </row>
    <row r="24">
      <c r="A24" s="19" t="s">
        <v>130</v>
      </c>
      <c r="B24" s="118" t="s">
        <v>39</v>
      </c>
      <c r="C24" s="14">
        <v>0.0146</v>
      </c>
      <c r="D24" s="14">
        <v>0.0041</v>
      </c>
      <c r="E24" s="14">
        <v>0.0215</v>
      </c>
      <c r="F24" s="113">
        <v>0.0126</v>
      </c>
      <c r="G24" s="112">
        <f t="shared" si="1"/>
        <v>0.0756</v>
      </c>
      <c r="H24" s="71"/>
    </row>
    <row r="25">
      <c r="A25" s="19" t="s">
        <v>130</v>
      </c>
      <c r="B25" s="118" t="s">
        <v>40</v>
      </c>
      <c r="C25" s="14">
        <v>0.0051</v>
      </c>
      <c r="D25" s="14">
        <v>0.0181</v>
      </c>
      <c r="E25" s="14">
        <v>0.0147</v>
      </c>
      <c r="F25" s="113">
        <v>0.0133</v>
      </c>
      <c r="G25" s="112">
        <f t="shared" si="1"/>
        <v>0.0798</v>
      </c>
      <c r="H25" s="71"/>
    </row>
    <row r="26">
      <c r="A26" s="19" t="s">
        <v>130</v>
      </c>
      <c r="B26" s="118" t="s">
        <v>41</v>
      </c>
      <c r="C26" s="14">
        <v>0.0079</v>
      </c>
      <c r="D26" s="14">
        <v>0.0</v>
      </c>
      <c r="E26" s="14">
        <v>0.0201</v>
      </c>
      <c r="F26" s="113">
        <v>0.0076</v>
      </c>
      <c r="G26" s="112">
        <f t="shared" si="1"/>
        <v>0.0456</v>
      </c>
      <c r="H26" s="71"/>
    </row>
    <row r="27">
      <c r="A27" s="19" t="s">
        <v>130</v>
      </c>
      <c r="B27" s="118" t="s">
        <v>42</v>
      </c>
      <c r="C27" s="14">
        <v>0.0047</v>
      </c>
      <c r="D27" s="14">
        <v>0.0</v>
      </c>
      <c r="E27" s="14">
        <v>0.0102</v>
      </c>
      <c r="F27" s="113">
        <v>0.0043</v>
      </c>
      <c r="G27" s="112">
        <f t="shared" si="1"/>
        <v>0.0258</v>
      </c>
      <c r="H27" s="71"/>
    </row>
    <row r="28">
      <c r="A28" s="19" t="s">
        <v>130</v>
      </c>
      <c r="B28" s="116" t="s">
        <v>131</v>
      </c>
      <c r="C28" s="18">
        <v>0.0062</v>
      </c>
      <c r="D28" s="18">
        <v>0.0106</v>
      </c>
      <c r="E28" s="18">
        <v>0.0387</v>
      </c>
      <c r="F28" s="117">
        <v>0.0167</v>
      </c>
      <c r="G28" s="115">
        <f t="shared" si="1"/>
        <v>0.1002</v>
      </c>
      <c r="H28" s="71"/>
    </row>
    <row r="29">
      <c r="A29" s="19" t="s">
        <v>132</v>
      </c>
      <c r="B29" s="111" t="s">
        <v>20</v>
      </c>
      <c r="C29" s="14">
        <v>0.0</v>
      </c>
      <c r="D29" s="14">
        <v>0.0326</v>
      </c>
      <c r="E29" s="14">
        <v>0.7895</v>
      </c>
      <c r="F29" s="14">
        <v>0.3289</v>
      </c>
      <c r="G29" s="112">
        <f t="shared" si="1"/>
        <v>1.9734</v>
      </c>
      <c r="H29" s="71"/>
    </row>
    <row r="30">
      <c r="A30" s="19" t="s">
        <v>132</v>
      </c>
      <c r="B30" s="111" t="s">
        <v>21</v>
      </c>
      <c r="C30" s="14">
        <v>0.0443</v>
      </c>
      <c r="D30" s="14">
        <v>0.0744</v>
      </c>
      <c r="E30" s="14">
        <v>0.6024</v>
      </c>
      <c r="F30" s="14">
        <v>0.2254</v>
      </c>
      <c r="G30" s="112">
        <f t="shared" si="1"/>
        <v>1.3524</v>
      </c>
      <c r="H30" s="71"/>
    </row>
    <row r="31">
      <c r="A31" s="19" t="s">
        <v>132</v>
      </c>
      <c r="B31" s="111" t="s">
        <v>22</v>
      </c>
      <c r="C31" s="14">
        <v>0.0</v>
      </c>
      <c r="D31" s="14">
        <v>0.0097</v>
      </c>
      <c r="E31" s="14">
        <v>0.6746</v>
      </c>
      <c r="F31" s="14">
        <v>0.3059</v>
      </c>
      <c r="G31" s="112">
        <f t="shared" si="1"/>
        <v>1.8354</v>
      </c>
      <c r="H31" s="71"/>
    </row>
    <row r="32">
      <c r="A32" s="19" t="s">
        <v>132</v>
      </c>
      <c r="B32" s="111" t="s">
        <v>23</v>
      </c>
      <c r="C32" s="14">
        <v>0.0</v>
      </c>
      <c r="D32" s="14">
        <v>0.0935</v>
      </c>
      <c r="E32" s="14">
        <v>0.6639</v>
      </c>
      <c r="F32" s="14">
        <v>0.2335</v>
      </c>
      <c r="G32" s="112">
        <f t="shared" si="1"/>
        <v>1.401</v>
      </c>
      <c r="H32" s="71"/>
    </row>
    <row r="33">
      <c r="A33" s="19" t="s">
        <v>132</v>
      </c>
      <c r="B33" s="111" t="s">
        <v>24</v>
      </c>
      <c r="C33" s="14">
        <v>0.0</v>
      </c>
      <c r="D33" s="14">
        <v>0.0154</v>
      </c>
      <c r="E33" s="14">
        <v>0.7059</v>
      </c>
      <c r="F33" s="14">
        <v>0.1746</v>
      </c>
      <c r="G33" s="112">
        <f t="shared" si="1"/>
        <v>1.0476</v>
      </c>
      <c r="H33" s="71"/>
    </row>
    <row r="34">
      <c r="A34" s="19" t="s">
        <v>132</v>
      </c>
      <c r="B34" s="111" t="s">
        <v>25</v>
      </c>
      <c r="C34" s="14">
        <v>0.0</v>
      </c>
      <c r="D34" s="14">
        <v>0.0296</v>
      </c>
      <c r="E34" s="14">
        <v>0.7175</v>
      </c>
      <c r="F34" s="14">
        <v>0.2266</v>
      </c>
      <c r="G34" s="112">
        <f t="shared" si="1"/>
        <v>1.3596</v>
      </c>
      <c r="H34" s="71"/>
    </row>
    <row r="35">
      <c r="A35" s="19" t="s">
        <v>132</v>
      </c>
      <c r="B35" s="111" t="s">
        <v>26</v>
      </c>
      <c r="C35" s="14">
        <v>0.0</v>
      </c>
      <c r="D35" s="14">
        <v>0.0075</v>
      </c>
      <c r="E35" s="14">
        <v>0.8128</v>
      </c>
      <c r="F35" s="14">
        <v>0.3566</v>
      </c>
      <c r="G35" s="112">
        <f t="shared" si="1"/>
        <v>2.1396</v>
      </c>
      <c r="H35" s="71"/>
    </row>
    <row r="36">
      <c r="A36" s="19" t="s">
        <v>132</v>
      </c>
      <c r="B36" s="111" t="s">
        <v>27</v>
      </c>
      <c r="C36" s="14">
        <v>0.0</v>
      </c>
      <c r="D36" s="14">
        <v>0.0277</v>
      </c>
      <c r="E36" s="14">
        <v>0.6429</v>
      </c>
      <c r="F36" s="14">
        <v>0.1912</v>
      </c>
      <c r="G36" s="112">
        <f t="shared" si="1"/>
        <v>1.1472</v>
      </c>
      <c r="H36" s="71"/>
    </row>
    <row r="37">
      <c r="A37" s="19" t="s">
        <v>132</v>
      </c>
      <c r="B37" s="111" t="s">
        <v>28</v>
      </c>
      <c r="C37" s="14">
        <v>0.0225</v>
      </c>
      <c r="D37" s="14">
        <v>0.0341</v>
      </c>
      <c r="E37" s="14">
        <v>0.6234</v>
      </c>
      <c r="F37" s="14">
        <v>0.2087</v>
      </c>
      <c r="G37" s="112">
        <f t="shared" si="1"/>
        <v>1.2522</v>
      </c>
      <c r="H37" s="71"/>
    </row>
    <row r="38">
      <c r="A38" s="19" t="s">
        <v>132</v>
      </c>
      <c r="B38" s="111" t="s">
        <v>29</v>
      </c>
      <c r="C38" s="14">
        <v>0.0</v>
      </c>
      <c r="D38" s="14">
        <v>0.0</v>
      </c>
      <c r="E38" s="14">
        <v>0.4909</v>
      </c>
      <c r="F38" s="14">
        <v>0.2553</v>
      </c>
      <c r="G38" s="112">
        <f t="shared" si="1"/>
        <v>1.5318</v>
      </c>
      <c r="H38" s="71"/>
    </row>
    <row r="39">
      <c r="A39" s="19" t="s">
        <v>132</v>
      </c>
      <c r="B39" s="111" t="s">
        <v>30</v>
      </c>
      <c r="C39" s="14">
        <v>0.0</v>
      </c>
      <c r="D39" s="14">
        <v>0.0526</v>
      </c>
      <c r="E39" s="14">
        <v>0.6829</v>
      </c>
      <c r="F39" s="14">
        <v>0.2345</v>
      </c>
      <c r="G39" s="112">
        <f t="shared" si="1"/>
        <v>1.407</v>
      </c>
      <c r="H39" s="71"/>
    </row>
    <row r="40">
      <c r="A40" s="19" t="s">
        <v>132</v>
      </c>
      <c r="B40" s="116" t="s">
        <v>31</v>
      </c>
      <c r="C40" s="18">
        <v>0.0076</v>
      </c>
      <c r="D40" s="18">
        <v>0.0382</v>
      </c>
      <c r="E40" s="18">
        <v>0.6668</v>
      </c>
      <c r="F40" s="18">
        <v>0.2425</v>
      </c>
      <c r="G40" s="115">
        <f t="shared" si="1"/>
        <v>1.455</v>
      </c>
      <c r="H40" s="71"/>
    </row>
    <row r="41">
      <c r="A41" s="19" t="s">
        <v>44</v>
      </c>
      <c r="B41" s="118" t="s">
        <v>45</v>
      </c>
      <c r="C41" s="14">
        <v>0.0055</v>
      </c>
      <c r="D41" s="14">
        <v>0.0101</v>
      </c>
      <c r="E41" s="14">
        <v>0.0797</v>
      </c>
      <c r="F41" s="113">
        <v>0.027</v>
      </c>
      <c r="G41" s="112">
        <f t="shared" si="1"/>
        <v>0.162</v>
      </c>
      <c r="H41" s="71"/>
    </row>
    <row r="42">
      <c r="A42" s="19" t="s">
        <v>44</v>
      </c>
      <c r="B42" s="111" t="s">
        <v>46</v>
      </c>
      <c r="C42" s="14">
        <v>0.0</v>
      </c>
      <c r="D42" s="14">
        <v>0.0</v>
      </c>
      <c r="E42" s="14">
        <v>0.1613</v>
      </c>
      <c r="F42" s="113">
        <v>0.0434</v>
      </c>
      <c r="G42" s="112">
        <f t="shared" si="1"/>
        <v>0.2604</v>
      </c>
      <c r="H42" s="71"/>
    </row>
    <row r="43">
      <c r="A43" s="19" t="s">
        <v>44</v>
      </c>
      <c r="B43" s="118" t="s">
        <v>47</v>
      </c>
      <c r="C43" s="14">
        <v>0.0087</v>
      </c>
      <c r="D43" s="14">
        <v>0.0143</v>
      </c>
      <c r="E43" s="14">
        <v>0.099</v>
      </c>
      <c r="F43" s="113">
        <v>0.0365</v>
      </c>
      <c r="G43" s="112">
        <f t="shared" si="1"/>
        <v>0.219</v>
      </c>
      <c r="H43" s="71"/>
    </row>
    <row r="44">
      <c r="A44" s="19" t="s">
        <v>44</v>
      </c>
      <c r="B44" s="111" t="s">
        <v>48</v>
      </c>
      <c r="C44" s="14">
        <v>0.0</v>
      </c>
      <c r="D44" s="14">
        <v>0.0202</v>
      </c>
      <c r="E44" s="14">
        <v>0.2099</v>
      </c>
      <c r="F44" s="113">
        <v>0.0671</v>
      </c>
      <c r="G44" s="112">
        <f t="shared" si="1"/>
        <v>0.4026</v>
      </c>
      <c r="H44" s="71"/>
    </row>
    <row r="45">
      <c r="A45" s="19" t="s">
        <v>44</v>
      </c>
      <c r="B45" s="111" t="s">
        <v>49</v>
      </c>
      <c r="C45" s="14">
        <v>0.0213</v>
      </c>
      <c r="D45" s="14">
        <v>0.2549</v>
      </c>
      <c r="E45" s="14">
        <v>0.6579</v>
      </c>
      <c r="F45" s="14">
        <v>0.2868</v>
      </c>
      <c r="G45" s="112">
        <f t="shared" si="1"/>
        <v>1.7208</v>
      </c>
      <c r="H45" s="71"/>
    </row>
    <row r="46">
      <c r="A46" s="19" t="s">
        <v>44</v>
      </c>
      <c r="B46" s="111" t="s">
        <v>50</v>
      </c>
      <c r="C46" s="14">
        <v>0.0733</v>
      </c>
      <c r="D46" s="14">
        <v>0.1244</v>
      </c>
      <c r="E46" s="14">
        <v>0.1917</v>
      </c>
      <c r="F46" s="113">
        <v>0.1211</v>
      </c>
      <c r="G46" s="112">
        <f t="shared" si="1"/>
        <v>0.7266</v>
      </c>
      <c r="H46" s="71"/>
    </row>
    <row r="47">
      <c r="A47" s="19" t="s">
        <v>44</v>
      </c>
      <c r="B47" s="116" t="s">
        <v>51</v>
      </c>
      <c r="C47" s="18">
        <v>0.0221</v>
      </c>
      <c r="D47" s="18">
        <v>0.0542</v>
      </c>
      <c r="E47" s="18">
        <v>0.1769</v>
      </c>
      <c r="F47" s="117">
        <v>0.0753</v>
      </c>
      <c r="G47" s="115">
        <f t="shared" si="1"/>
        <v>0.4518</v>
      </c>
      <c r="H47" s="71"/>
    </row>
    <row r="48">
      <c r="A48" s="19" t="s">
        <v>32</v>
      </c>
      <c r="B48" s="118" t="s">
        <v>33</v>
      </c>
      <c r="C48" s="14">
        <v>0.0</v>
      </c>
      <c r="D48" s="14">
        <v>0.021</v>
      </c>
      <c r="E48" s="14">
        <v>0.0147</v>
      </c>
      <c r="F48" s="113">
        <v>0.0133</v>
      </c>
      <c r="G48" s="112">
        <f t="shared" si="1"/>
        <v>0.0798</v>
      </c>
      <c r="H48" s="71"/>
    </row>
    <row r="49">
      <c r="A49" s="19" t="s">
        <v>32</v>
      </c>
      <c r="B49" s="111" t="s">
        <v>34</v>
      </c>
      <c r="C49" s="14">
        <v>0.0045</v>
      </c>
      <c r="D49" s="14">
        <v>0.0223</v>
      </c>
      <c r="E49" s="14">
        <v>0.1941</v>
      </c>
      <c r="F49" s="113">
        <v>0.0843</v>
      </c>
      <c r="G49" s="112">
        <f t="shared" si="1"/>
        <v>0.5058</v>
      </c>
      <c r="H49" s="71"/>
    </row>
    <row r="50">
      <c r="A50" s="19" t="s">
        <v>32</v>
      </c>
      <c r="B50" s="116" t="s">
        <v>35</v>
      </c>
      <c r="C50" s="18">
        <v>0.0026</v>
      </c>
      <c r="D50" s="18">
        <v>0.0217</v>
      </c>
      <c r="E50" s="18">
        <v>0.1142</v>
      </c>
      <c r="F50" s="117">
        <v>0.0533</v>
      </c>
      <c r="G50" s="115">
        <f t="shared" si="1"/>
        <v>0.3198</v>
      </c>
      <c r="H50" s="71"/>
    </row>
    <row r="51">
      <c r="A51" s="19" t="s">
        <v>66</v>
      </c>
      <c r="B51" s="111" t="s">
        <v>67</v>
      </c>
      <c r="C51" s="14">
        <v>0.1569</v>
      </c>
      <c r="D51" s="14">
        <v>0.1923</v>
      </c>
      <c r="E51" s="14">
        <v>0.2596</v>
      </c>
      <c r="F51" s="14">
        <v>0.2032</v>
      </c>
      <c r="G51" s="112">
        <f t="shared" si="1"/>
        <v>1.2192</v>
      </c>
      <c r="H51" s="71"/>
    </row>
    <row r="52">
      <c r="A52" s="19" t="s">
        <v>66</v>
      </c>
      <c r="B52" s="111" t="s">
        <v>68</v>
      </c>
      <c r="C52" s="14">
        <v>0.0</v>
      </c>
      <c r="D52" s="14">
        <v>0.0602</v>
      </c>
      <c r="E52" s="14">
        <v>0.1739</v>
      </c>
      <c r="F52" s="113">
        <v>0.0708</v>
      </c>
      <c r="G52" s="112">
        <f t="shared" si="1"/>
        <v>0.4248</v>
      </c>
      <c r="H52" s="71"/>
    </row>
    <row r="53">
      <c r="A53" s="19" t="s">
        <v>66</v>
      </c>
      <c r="B53" s="111" t="s">
        <v>69</v>
      </c>
      <c r="C53" s="14">
        <v>0.0128</v>
      </c>
      <c r="D53" s="14">
        <v>0.0078</v>
      </c>
      <c r="E53" s="14">
        <v>0.2609</v>
      </c>
      <c r="F53" s="113">
        <v>0.0716</v>
      </c>
      <c r="G53" s="112">
        <f t="shared" si="1"/>
        <v>0.4296</v>
      </c>
      <c r="H53" s="71"/>
    </row>
    <row r="54">
      <c r="A54" s="19" t="s">
        <v>66</v>
      </c>
      <c r="B54" s="111" t="s">
        <v>70</v>
      </c>
      <c r="C54" s="14">
        <v>0.0081</v>
      </c>
      <c r="D54" s="14">
        <v>0.0435</v>
      </c>
      <c r="E54" s="14">
        <v>0.3846</v>
      </c>
      <c r="F54" s="113">
        <v>0.102</v>
      </c>
      <c r="G54" s="112">
        <f t="shared" si="1"/>
        <v>0.612</v>
      </c>
      <c r="H54" s="71"/>
    </row>
    <row r="55">
      <c r="A55" s="19" t="s">
        <v>66</v>
      </c>
      <c r="B55" s="111" t="s">
        <v>71</v>
      </c>
      <c r="C55" s="14">
        <v>0.053</v>
      </c>
      <c r="D55" s="14">
        <v>0.3118</v>
      </c>
      <c r="E55" s="14">
        <v>0.4186</v>
      </c>
      <c r="F55" s="14">
        <v>0.2315</v>
      </c>
      <c r="G55" s="112">
        <f t="shared" si="1"/>
        <v>1.389</v>
      </c>
      <c r="H55" s="71"/>
    </row>
    <row r="56">
      <c r="A56" s="19" t="s">
        <v>66</v>
      </c>
      <c r="B56" s="116" t="s">
        <v>72</v>
      </c>
      <c r="C56" s="18">
        <v>0.0432</v>
      </c>
      <c r="D56" s="18">
        <v>0.1145</v>
      </c>
      <c r="E56" s="18">
        <v>0.2981</v>
      </c>
      <c r="F56" s="18">
        <v>0.1362</v>
      </c>
      <c r="G56" s="115">
        <f t="shared" si="1"/>
        <v>0.8172</v>
      </c>
      <c r="H56" s="71"/>
    </row>
    <row r="57">
      <c r="A57" s="19" t="s">
        <v>60</v>
      </c>
      <c r="B57" s="119" t="s">
        <v>61</v>
      </c>
      <c r="C57" s="14">
        <v>0.0114</v>
      </c>
      <c r="D57" s="14">
        <v>0.0417</v>
      </c>
      <c r="E57" s="14">
        <v>0.2443</v>
      </c>
      <c r="F57" s="113">
        <v>0.0863</v>
      </c>
      <c r="G57" s="112">
        <f t="shared" si="1"/>
        <v>0.5178</v>
      </c>
      <c r="H57" s="71"/>
    </row>
    <row r="58">
      <c r="A58" s="19" t="s">
        <v>60</v>
      </c>
      <c r="B58" s="118" t="s">
        <v>62</v>
      </c>
      <c r="C58" s="14">
        <v>0.0349</v>
      </c>
      <c r="D58" s="14">
        <v>0.0435</v>
      </c>
      <c r="E58" s="14">
        <v>0.069</v>
      </c>
      <c r="F58" s="113">
        <v>0.0496</v>
      </c>
      <c r="G58" s="112">
        <f t="shared" si="1"/>
        <v>0.2976</v>
      </c>
      <c r="H58" s="71"/>
    </row>
    <row r="59">
      <c r="A59" s="19" t="s">
        <v>60</v>
      </c>
      <c r="B59" s="119" t="s">
        <v>63</v>
      </c>
      <c r="C59" s="14">
        <v>0.0057</v>
      </c>
      <c r="D59" s="14">
        <v>0.0256</v>
      </c>
      <c r="E59" s="14">
        <v>0.1401</v>
      </c>
      <c r="F59" s="113">
        <v>0.0553</v>
      </c>
      <c r="G59" s="112">
        <f t="shared" si="1"/>
        <v>0.3318</v>
      </c>
      <c r="H59" s="71"/>
    </row>
    <row r="60">
      <c r="A60" s="19" t="s">
        <v>60</v>
      </c>
      <c r="B60" s="111" t="s">
        <v>64</v>
      </c>
      <c r="C60" s="14">
        <v>0.0057</v>
      </c>
      <c r="D60" s="14">
        <v>0.0</v>
      </c>
      <c r="E60" s="14">
        <v>0.1333</v>
      </c>
      <c r="F60" s="113">
        <v>0.0289</v>
      </c>
      <c r="G60" s="112">
        <f t="shared" si="1"/>
        <v>0.1734</v>
      </c>
      <c r="H60" s="71"/>
    </row>
    <row r="61">
      <c r="A61" s="19" t="s">
        <v>60</v>
      </c>
      <c r="B61" s="116" t="s">
        <v>65</v>
      </c>
      <c r="C61" s="18">
        <v>0.0102</v>
      </c>
      <c r="D61" s="18">
        <v>0.0264</v>
      </c>
      <c r="E61" s="18">
        <v>0.1516</v>
      </c>
      <c r="F61" s="117">
        <v>0.0569</v>
      </c>
      <c r="G61" s="115">
        <f t="shared" si="1"/>
        <v>0.3414</v>
      </c>
      <c r="H61" s="71"/>
    </row>
    <row r="62">
      <c r="A62" s="120" t="s">
        <v>73</v>
      </c>
      <c r="B62" s="121" t="s">
        <v>74</v>
      </c>
      <c r="C62" s="18">
        <v>0.0133</v>
      </c>
      <c r="D62" s="18">
        <v>0.0565</v>
      </c>
      <c r="E62" s="18">
        <v>0.3259</v>
      </c>
      <c r="F62" s="117">
        <v>0.1237</v>
      </c>
      <c r="G62" s="115">
        <f t="shared" si="1"/>
        <v>0.7422</v>
      </c>
      <c r="H62" s="71"/>
    </row>
    <row r="63">
      <c r="C63" s="106"/>
      <c r="D63" s="106"/>
      <c r="E63" s="106"/>
      <c r="F63" s="106"/>
    </row>
    <row r="64">
      <c r="B64" s="122" t="s">
        <v>133</v>
      </c>
      <c r="C64" s="122" t="s">
        <v>134</v>
      </c>
      <c r="D64" s="122" t="s">
        <v>135</v>
      </c>
      <c r="E64" s="123">
        <f>F62*6</f>
        <v>0.7422</v>
      </c>
    </row>
  </sheetData>
  <mergeCells count="4">
    <mergeCell ref="A1:F1"/>
    <mergeCell ref="B2:F2"/>
    <mergeCell ref="A3:F3"/>
    <mergeCell ref="A4:B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G1" s="71"/>
    </row>
    <row r="2">
      <c r="A2" s="45" t="s">
        <v>90</v>
      </c>
    </row>
    <row r="3">
      <c r="A3" s="47" t="s">
        <v>94</v>
      </c>
      <c r="B3" s="48" t="s">
        <v>95</v>
      </c>
      <c r="C3" s="49" t="s">
        <v>96</v>
      </c>
      <c r="D3" s="53" t="s">
        <v>136</v>
      </c>
      <c r="E3" s="51"/>
      <c r="F3" s="51"/>
      <c r="G3" s="51"/>
      <c r="H3" s="52"/>
    </row>
    <row r="4">
      <c r="A4" s="54"/>
      <c r="B4" s="54"/>
      <c r="C4" s="54"/>
      <c r="D4" s="58">
        <v>45778.0</v>
      </c>
      <c r="E4" s="59" t="s">
        <v>99</v>
      </c>
      <c r="F4" s="59" t="s">
        <v>100</v>
      </c>
      <c r="G4" s="60" t="s">
        <v>101</v>
      </c>
      <c r="H4" s="60" t="s">
        <v>102</v>
      </c>
    </row>
    <row r="5">
      <c r="A5" s="61"/>
      <c r="B5" s="61"/>
      <c r="C5" s="61"/>
      <c r="D5" s="64" t="s">
        <v>104</v>
      </c>
      <c r="E5" s="64" t="s">
        <v>104</v>
      </c>
      <c r="F5" s="64" t="s">
        <v>105</v>
      </c>
      <c r="G5" s="65" t="s">
        <v>106</v>
      </c>
      <c r="H5" s="65" t="s">
        <v>108</v>
      </c>
    </row>
    <row r="6">
      <c r="A6" s="66">
        <v>1.0</v>
      </c>
      <c r="B6" s="16" t="s">
        <v>9</v>
      </c>
      <c r="C6" s="67" t="s">
        <v>10</v>
      </c>
      <c r="D6" s="69">
        <v>140.0</v>
      </c>
      <c r="E6" s="69">
        <v>168.0</v>
      </c>
      <c r="F6" s="69">
        <f t="shared" ref="F6:F69" si="1">E6-D6</f>
        <v>28</v>
      </c>
      <c r="G6" s="70">
        <f t="shared" ref="G6:G13" si="2">F6/D6%</f>
        <v>20</v>
      </c>
      <c r="H6" s="70">
        <f t="shared" ref="H6:H69" si="3">MIN(5,MAX(0,G6*5/100))</f>
        <v>1</v>
      </c>
    </row>
    <row r="7">
      <c r="A7" s="66">
        <v>2.0</v>
      </c>
      <c r="B7" s="16" t="s">
        <v>9</v>
      </c>
      <c r="C7" s="67" t="s">
        <v>11</v>
      </c>
      <c r="D7" s="69">
        <v>105.0</v>
      </c>
      <c r="E7" s="69">
        <v>62.0</v>
      </c>
      <c r="F7" s="69">
        <f t="shared" si="1"/>
        <v>-43</v>
      </c>
      <c r="G7" s="70">
        <f t="shared" si="2"/>
        <v>-40.95238095</v>
      </c>
      <c r="H7" s="70">
        <f t="shared" si="3"/>
        <v>0</v>
      </c>
    </row>
    <row r="8">
      <c r="A8" s="66">
        <v>3.0</v>
      </c>
      <c r="B8" s="16" t="s">
        <v>9</v>
      </c>
      <c r="C8" s="67" t="s">
        <v>17</v>
      </c>
      <c r="D8" s="69">
        <v>542.0</v>
      </c>
      <c r="E8" s="69">
        <v>642.0</v>
      </c>
      <c r="F8" s="69">
        <f t="shared" si="1"/>
        <v>100</v>
      </c>
      <c r="G8" s="70">
        <f t="shared" si="2"/>
        <v>18.4501845</v>
      </c>
      <c r="H8" s="70">
        <f t="shared" si="3"/>
        <v>0.9225092251</v>
      </c>
    </row>
    <row r="9">
      <c r="A9" s="66">
        <v>4.0</v>
      </c>
      <c r="B9" s="16" t="s">
        <v>9</v>
      </c>
      <c r="C9" s="72" t="s">
        <v>12</v>
      </c>
      <c r="D9" s="73">
        <v>196.0</v>
      </c>
      <c r="E9" s="73">
        <v>66.0</v>
      </c>
      <c r="F9" s="69">
        <f t="shared" si="1"/>
        <v>-130</v>
      </c>
      <c r="G9" s="70">
        <f t="shared" si="2"/>
        <v>-66.32653061</v>
      </c>
      <c r="H9" s="70">
        <f t="shared" si="3"/>
        <v>0</v>
      </c>
    </row>
    <row r="10">
      <c r="A10" s="66">
        <v>5.0</v>
      </c>
      <c r="B10" s="16" t="s">
        <v>9</v>
      </c>
      <c r="C10" s="72" t="s">
        <v>13</v>
      </c>
      <c r="D10" s="73">
        <v>1.0</v>
      </c>
      <c r="E10" s="73">
        <v>3.0</v>
      </c>
      <c r="F10" s="69">
        <f t="shared" si="1"/>
        <v>2</v>
      </c>
      <c r="G10" s="70">
        <f t="shared" si="2"/>
        <v>200</v>
      </c>
      <c r="H10" s="70">
        <f t="shared" si="3"/>
        <v>5</v>
      </c>
    </row>
    <row r="11">
      <c r="A11" s="66">
        <v>6.0</v>
      </c>
      <c r="B11" s="16" t="s">
        <v>9</v>
      </c>
      <c r="C11" s="72" t="s">
        <v>14</v>
      </c>
      <c r="D11" s="73">
        <v>4.0</v>
      </c>
      <c r="E11" s="73">
        <v>5.0</v>
      </c>
      <c r="F11" s="69">
        <f t="shared" si="1"/>
        <v>1</v>
      </c>
      <c r="G11" s="70">
        <f t="shared" si="2"/>
        <v>25</v>
      </c>
      <c r="H11" s="70">
        <f t="shared" si="3"/>
        <v>1.25</v>
      </c>
    </row>
    <row r="12">
      <c r="A12" s="66">
        <v>7.0</v>
      </c>
      <c r="B12" s="16" t="s">
        <v>9</v>
      </c>
      <c r="C12" s="72" t="s">
        <v>15</v>
      </c>
      <c r="D12" s="73">
        <v>28.0</v>
      </c>
      <c r="E12" s="73">
        <v>16.0</v>
      </c>
      <c r="F12" s="69">
        <f t="shared" si="1"/>
        <v>-12</v>
      </c>
      <c r="G12" s="70">
        <f t="shared" si="2"/>
        <v>-42.85714286</v>
      </c>
      <c r="H12" s="70">
        <f t="shared" si="3"/>
        <v>0</v>
      </c>
    </row>
    <row r="13">
      <c r="A13" s="66">
        <v>8.0</v>
      </c>
      <c r="B13" s="16" t="s">
        <v>9</v>
      </c>
      <c r="C13" s="72" t="s">
        <v>16</v>
      </c>
      <c r="D13" s="73">
        <v>20.0</v>
      </c>
      <c r="E13" s="73">
        <v>13.0</v>
      </c>
      <c r="F13" s="69">
        <f t="shared" si="1"/>
        <v>-7</v>
      </c>
      <c r="G13" s="70">
        <f t="shared" si="2"/>
        <v>-35</v>
      </c>
      <c r="H13" s="70">
        <f t="shared" si="3"/>
        <v>0</v>
      </c>
    </row>
    <row r="14">
      <c r="A14" s="66">
        <v>9.0</v>
      </c>
      <c r="B14" s="16" t="s">
        <v>9</v>
      </c>
      <c r="C14" s="72" t="s">
        <v>109</v>
      </c>
      <c r="D14" s="73">
        <v>0.0</v>
      </c>
      <c r="E14" s="73">
        <v>5.0</v>
      </c>
      <c r="F14" s="69">
        <f t="shared" si="1"/>
        <v>5</v>
      </c>
      <c r="G14" s="70">
        <v>500.0</v>
      </c>
      <c r="H14" s="70">
        <f t="shared" si="3"/>
        <v>5</v>
      </c>
    </row>
    <row r="15">
      <c r="A15" s="74"/>
      <c r="B15" s="16" t="s">
        <v>9</v>
      </c>
      <c r="C15" s="75" t="s">
        <v>110</v>
      </c>
      <c r="D15" s="76">
        <v>1036.0</v>
      </c>
      <c r="E15" s="76">
        <v>980.0</v>
      </c>
      <c r="F15" s="77">
        <f t="shared" si="1"/>
        <v>-56</v>
      </c>
      <c r="G15" s="78">
        <f t="shared" ref="G15:G38" si="4">F15/D15%</f>
        <v>-5.405405405</v>
      </c>
      <c r="H15" s="78">
        <f t="shared" si="3"/>
        <v>0</v>
      </c>
    </row>
    <row r="16">
      <c r="A16" s="66">
        <v>10.0</v>
      </c>
      <c r="B16" s="16" t="s">
        <v>19</v>
      </c>
      <c r="C16" s="67" t="s">
        <v>21</v>
      </c>
      <c r="D16" s="69">
        <v>185.0</v>
      </c>
      <c r="E16" s="69">
        <v>159.0</v>
      </c>
      <c r="F16" s="69">
        <f t="shared" si="1"/>
        <v>-26</v>
      </c>
      <c r="G16" s="70">
        <f t="shared" si="4"/>
        <v>-14.05405405</v>
      </c>
      <c r="H16" s="70">
        <f t="shared" si="3"/>
        <v>0</v>
      </c>
    </row>
    <row r="17">
      <c r="A17" s="66">
        <v>11.0</v>
      </c>
      <c r="B17" s="16" t="s">
        <v>19</v>
      </c>
      <c r="C17" s="67" t="s">
        <v>26</v>
      </c>
      <c r="D17" s="69">
        <v>231.0</v>
      </c>
      <c r="E17" s="69">
        <v>191.0</v>
      </c>
      <c r="F17" s="69">
        <f t="shared" si="1"/>
        <v>-40</v>
      </c>
      <c r="G17" s="70">
        <f t="shared" si="4"/>
        <v>-17.31601732</v>
      </c>
      <c r="H17" s="70">
        <f t="shared" si="3"/>
        <v>0</v>
      </c>
    </row>
    <row r="18">
      <c r="A18" s="66">
        <v>12.0</v>
      </c>
      <c r="B18" s="16" t="s">
        <v>19</v>
      </c>
      <c r="C18" s="67" t="s">
        <v>27</v>
      </c>
      <c r="D18" s="69">
        <v>234.0</v>
      </c>
      <c r="E18" s="69">
        <v>570.0</v>
      </c>
      <c r="F18" s="69">
        <f t="shared" si="1"/>
        <v>336</v>
      </c>
      <c r="G18" s="70">
        <f t="shared" si="4"/>
        <v>143.5897436</v>
      </c>
      <c r="H18" s="70">
        <f t="shared" si="3"/>
        <v>5</v>
      </c>
    </row>
    <row r="19">
      <c r="A19" s="66">
        <v>13.0</v>
      </c>
      <c r="B19" s="16" t="s">
        <v>19</v>
      </c>
      <c r="C19" s="67" t="s">
        <v>29</v>
      </c>
      <c r="D19" s="69">
        <v>102.0</v>
      </c>
      <c r="E19" s="69">
        <v>243.0</v>
      </c>
      <c r="F19" s="69">
        <f t="shared" si="1"/>
        <v>141</v>
      </c>
      <c r="G19" s="70">
        <f t="shared" si="4"/>
        <v>138.2352941</v>
      </c>
      <c r="H19" s="70">
        <f t="shared" si="3"/>
        <v>5</v>
      </c>
    </row>
    <row r="20">
      <c r="A20" s="66">
        <v>14.0</v>
      </c>
      <c r="B20" s="16" t="s">
        <v>19</v>
      </c>
      <c r="C20" s="72" t="s">
        <v>20</v>
      </c>
      <c r="D20" s="73">
        <v>33.0</v>
      </c>
      <c r="E20" s="73">
        <v>32.0</v>
      </c>
      <c r="F20" s="69">
        <f t="shared" si="1"/>
        <v>-1</v>
      </c>
      <c r="G20" s="70">
        <f t="shared" si="4"/>
        <v>-3.03030303</v>
      </c>
      <c r="H20" s="70">
        <f t="shared" si="3"/>
        <v>0</v>
      </c>
    </row>
    <row r="21">
      <c r="A21" s="66">
        <v>15.0</v>
      </c>
      <c r="B21" s="16" t="s">
        <v>19</v>
      </c>
      <c r="C21" s="72" t="s">
        <v>22</v>
      </c>
      <c r="D21" s="73">
        <v>46.0</v>
      </c>
      <c r="E21" s="73">
        <v>22.0</v>
      </c>
      <c r="F21" s="69">
        <f t="shared" si="1"/>
        <v>-24</v>
      </c>
      <c r="G21" s="70">
        <f t="shared" si="4"/>
        <v>-52.17391304</v>
      </c>
      <c r="H21" s="70">
        <f t="shared" si="3"/>
        <v>0</v>
      </c>
    </row>
    <row r="22">
      <c r="A22" s="66">
        <v>16.0</v>
      </c>
      <c r="B22" s="16" t="s">
        <v>19</v>
      </c>
      <c r="C22" s="72" t="s">
        <v>23</v>
      </c>
      <c r="D22" s="73">
        <v>6.0</v>
      </c>
      <c r="E22" s="73">
        <v>4.0</v>
      </c>
      <c r="F22" s="69">
        <f t="shared" si="1"/>
        <v>-2</v>
      </c>
      <c r="G22" s="70">
        <f t="shared" si="4"/>
        <v>-33.33333333</v>
      </c>
      <c r="H22" s="70">
        <f t="shared" si="3"/>
        <v>0</v>
      </c>
    </row>
    <row r="23">
      <c r="A23" s="66">
        <v>17.0</v>
      </c>
      <c r="B23" s="16" t="s">
        <v>19</v>
      </c>
      <c r="C23" s="72" t="s">
        <v>24</v>
      </c>
      <c r="D23" s="73">
        <v>7.0</v>
      </c>
      <c r="E23" s="73">
        <v>19.0</v>
      </c>
      <c r="F23" s="69">
        <f t="shared" si="1"/>
        <v>12</v>
      </c>
      <c r="G23" s="70">
        <f t="shared" si="4"/>
        <v>171.4285714</v>
      </c>
      <c r="H23" s="70">
        <f t="shared" si="3"/>
        <v>5</v>
      </c>
    </row>
    <row r="24">
      <c r="A24" s="66">
        <v>18.0</v>
      </c>
      <c r="B24" s="16" t="s">
        <v>19</v>
      </c>
      <c r="C24" s="72" t="s">
        <v>25</v>
      </c>
      <c r="D24" s="73">
        <v>66.0</v>
      </c>
      <c r="E24" s="73">
        <v>54.0</v>
      </c>
      <c r="F24" s="69">
        <f t="shared" si="1"/>
        <v>-12</v>
      </c>
      <c r="G24" s="70">
        <f t="shared" si="4"/>
        <v>-18.18181818</v>
      </c>
      <c r="H24" s="70">
        <f t="shared" si="3"/>
        <v>0</v>
      </c>
    </row>
    <row r="25">
      <c r="A25" s="66">
        <v>19.0</v>
      </c>
      <c r="B25" s="16" t="s">
        <v>19</v>
      </c>
      <c r="C25" s="72" t="s">
        <v>28</v>
      </c>
      <c r="D25" s="73">
        <v>65.0</v>
      </c>
      <c r="E25" s="73">
        <v>65.0</v>
      </c>
      <c r="F25" s="69">
        <f t="shared" si="1"/>
        <v>0</v>
      </c>
      <c r="G25" s="70">
        <f t="shared" si="4"/>
        <v>0</v>
      </c>
      <c r="H25" s="70">
        <f t="shared" si="3"/>
        <v>0</v>
      </c>
    </row>
    <row r="26">
      <c r="A26" s="66">
        <v>20.0</v>
      </c>
      <c r="B26" s="16" t="s">
        <v>19</v>
      </c>
      <c r="C26" s="72" t="s">
        <v>111</v>
      </c>
      <c r="D26" s="73">
        <v>14.0</v>
      </c>
      <c r="E26" s="73">
        <v>21.0</v>
      </c>
      <c r="F26" s="69">
        <f t="shared" si="1"/>
        <v>7</v>
      </c>
      <c r="G26" s="70">
        <f t="shared" si="4"/>
        <v>50</v>
      </c>
      <c r="H26" s="70">
        <f t="shared" si="3"/>
        <v>2.5</v>
      </c>
    </row>
    <row r="27">
      <c r="A27" s="66">
        <v>21.0</v>
      </c>
      <c r="B27" s="16" t="s">
        <v>19</v>
      </c>
      <c r="C27" s="72" t="s">
        <v>30</v>
      </c>
      <c r="D27" s="73">
        <v>29.0</v>
      </c>
      <c r="E27" s="73">
        <v>23.0</v>
      </c>
      <c r="F27" s="69">
        <f t="shared" si="1"/>
        <v>-6</v>
      </c>
      <c r="G27" s="70">
        <f t="shared" si="4"/>
        <v>-20.68965517</v>
      </c>
      <c r="H27" s="70">
        <f t="shared" si="3"/>
        <v>0</v>
      </c>
    </row>
    <row r="28">
      <c r="A28" s="74"/>
      <c r="B28" s="16" t="s">
        <v>19</v>
      </c>
      <c r="C28" s="75" t="s">
        <v>110</v>
      </c>
      <c r="D28" s="76">
        <v>1018.0</v>
      </c>
      <c r="E28" s="76">
        <v>1403.0</v>
      </c>
      <c r="F28" s="77">
        <f t="shared" si="1"/>
        <v>385</v>
      </c>
      <c r="G28" s="78">
        <f t="shared" si="4"/>
        <v>37.81925344</v>
      </c>
      <c r="H28" s="78">
        <f t="shared" si="3"/>
        <v>1.890962672</v>
      </c>
    </row>
    <row r="29">
      <c r="A29" s="66">
        <v>22.0</v>
      </c>
      <c r="B29" s="16" t="s">
        <v>32</v>
      </c>
      <c r="C29" s="67" t="s">
        <v>34</v>
      </c>
      <c r="D29" s="69">
        <v>793.0</v>
      </c>
      <c r="E29" s="69">
        <v>391.0</v>
      </c>
      <c r="F29" s="69">
        <f t="shared" si="1"/>
        <v>-402</v>
      </c>
      <c r="G29" s="70">
        <f t="shared" si="4"/>
        <v>-50.69356873</v>
      </c>
      <c r="H29" s="70">
        <f t="shared" si="3"/>
        <v>0</v>
      </c>
    </row>
    <row r="30">
      <c r="A30" s="66">
        <v>23.0</v>
      </c>
      <c r="B30" s="16" t="s">
        <v>32</v>
      </c>
      <c r="C30" s="67" t="s">
        <v>33</v>
      </c>
      <c r="D30" s="69">
        <v>1781.0</v>
      </c>
      <c r="E30" s="69">
        <v>1217.0</v>
      </c>
      <c r="F30" s="69">
        <f t="shared" si="1"/>
        <v>-564</v>
      </c>
      <c r="G30" s="70">
        <f t="shared" si="4"/>
        <v>-31.66760247</v>
      </c>
      <c r="H30" s="70">
        <f t="shared" si="3"/>
        <v>0</v>
      </c>
    </row>
    <row r="31">
      <c r="A31" s="66">
        <v>24.0</v>
      </c>
      <c r="B31" s="16" t="s">
        <v>32</v>
      </c>
      <c r="C31" s="72" t="s">
        <v>112</v>
      </c>
      <c r="D31" s="73">
        <v>43.0</v>
      </c>
      <c r="E31" s="73">
        <v>155.0</v>
      </c>
      <c r="F31" s="69">
        <f t="shared" si="1"/>
        <v>112</v>
      </c>
      <c r="G31" s="70">
        <f t="shared" si="4"/>
        <v>260.4651163</v>
      </c>
      <c r="H31" s="70">
        <f t="shared" si="3"/>
        <v>5</v>
      </c>
    </row>
    <row r="32">
      <c r="A32" s="82"/>
      <c r="B32" s="16" t="s">
        <v>32</v>
      </c>
      <c r="C32" s="83" t="s">
        <v>110</v>
      </c>
      <c r="D32" s="84">
        <v>2617.0</v>
      </c>
      <c r="E32" s="84">
        <v>1763.0</v>
      </c>
      <c r="F32" s="85">
        <f t="shared" si="1"/>
        <v>-854</v>
      </c>
      <c r="G32" s="86">
        <f t="shared" si="4"/>
        <v>-32.63278563</v>
      </c>
      <c r="H32" s="86">
        <f t="shared" si="3"/>
        <v>0</v>
      </c>
    </row>
    <row r="33">
      <c r="A33" s="66">
        <v>25.0</v>
      </c>
      <c r="B33" s="16" t="s">
        <v>36</v>
      </c>
      <c r="C33" s="67" t="s">
        <v>42</v>
      </c>
      <c r="D33" s="69">
        <v>117.0</v>
      </c>
      <c r="E33" s="69">
        <v>73.0</v>
      </c>
      <c r="F33" s="69">
        <f t="shared" si="1"/>
        <v>-44</v>
      </c>
      <c r="G33" s="70">
        <f t="shared" si="4"/>
        <v>-37.60683761</v>
      </c>
      <c r="H33" s="70">
        <f t="shared" si="3"/>
        <v>0</v>
      </c>
    </row>
    <row r="34">
      <c r="A34" s="66">
        <v>26.0</v>
      </c>
      <c r="B34" s="16" t="s">
        <v>36</v>
      </c>
      <c r="C34" s="72" t="s">
        <v>37</v>
      </c>
      <c r="D34" s="73">
        <v>48.0</v>
      </c>
      <c r="E34" s="73">
        <v>23.0</v>
      </c>
      <c r="F34" s="69">
        <f t="shared" si="1"/>
        <v>-25</v>
      </c>
      <c r="G34" s="70">
        <f t="shared" si="4"/>
        <v>-52.08333333</v>
      </c>
      <c r="H34" s="70">
        <f t="shared" si="3"/>
        <v>0</v>
      </c>
    </row>
    <row r="35">
      <c r="A35" s="66">
        <v>27.0</v>
      </c>
      <c r="B35" s="16" t="s">
        <v>36</v>
      </c>
      <c r="C35" s="72" t="s">
        <v>38</v>
      </c>
      <c r="D35" s="73">
        <v>12.0</v>
      </c>
      <c r="E35" s="73">
        <v>0.0</v>
      </c>
      <c r="F35" s="69">
        <f t="shared" si="1"/>
        <v>-12</v>
      </c>
      <c r="G35" s="70">
        <f t="shared" si="4"/>
        <v>-100</v>
      </c>
      <c r="H35" s="70">
        <f t="shared" si="3"/>
        <v>0</v>
      </c>
    </row>
    <row r="36">
      <c r="A36" s="66">
        <v>28.0</v>
      </c>
      <c r="B36" s="16" t="s">
        <v>36</v>
      </c>
      <c r="C36" s="72" t="s">
        <v>39</v>
      </c>
      <c r="D36" s="73">
        <v>24.0</v>
      </c>
      <c r="E36" s="73">
        <v>8.0</v>
      </c>
      <c r="F36" s="69">
        <f t="shared" si="1"/>
        <v>-16</v>
      </c>
      <c r="G36" s="70">
        <f t="shared" si="4"/>
        <v>-66.66666667</v>
      </c>
      <c r="H36" s="70">
        <f t="shared" si="3"/>
        <v>0</v>
      </c>
    </row>
    <row r="37">
      <c r="A37" s="66">
        <v>29.0</v>
      </c>
      <c r="B37" s="16" t="s">
        <v>36</v>
      </c>
      <c r="C37" s="72" t="s">
        <v>40</v>
      </c>
      <c r="D37" s="73">
        <v>34.0</v>
      </c>
      <c r="E37" s="73">
        <v>12.0</v>
      </c>
      <c r="F37" s="69">
        <f t="shared" si="1"/>
        <v>-22</v>
      </c>
      <c r="G37" s="70">
        <f t="shared" si="4"/>
        <v>-64.70588235</v>
      </c>
      <c r="H37" s="70">
        <f t="shared" si="3"/>
        <v>0</v>
      </c>
    </row>
    <row r="38">
      <c r="A38" s="66">
        <v>30.0</v>
      </c>
      <c r="B38" s="16" t="s">
        <v>36</v>
      </c>
      <c r="C38" s="72" t="s">
        <v>41</v>
      </c>
      <c r="D38" s="73">
        <v>41.0</v>
      </c>
      <c r="E38" s="73">
        <v>15.0</v>
      </c>
      <c r="F38" s="69">
        <f t="shared" si="1"/>
        <v>-26</v>
      </c>
      <c r="G38" s="70">
        <f t="shared" si="4"/>
        <v>-63.41463415</v>
      </c>
      <c r="H38" s="70">
        <f t="shared" si="3"/>
        <v>0</v>
      </c>
    </row>
    <row r="39">
      <c r="A39" s="66">
        <v>31.0</v>
      </c>
      <c r="B39" s="16" t="s">
        <v>36</v>
      </c>
      <c r="C39" s="72" t="s">
        <v>113</v>
      </c>
      <c r="D39" s="73">
        <v>0.0</v>
      </c>
      <c r="E39" s="73">
        <v>12.0</v>
      </c>
      <c r="F39" s="69">
        <f t="shared" si="1"/>
        <v>12</v>
      </c>
      <c r="G39" s="70">
        <v>1200.0</v>
      </c>
      <c r="H39" s="70">
        <f t="shared" si="3"/>
        <v>5</v>
      </c>
    </row>
    <row r="40">
      <c r="A40" s="89"/>
      <c r="B40" s="16" t="s">
        <v>36</v>
      </c>
      <c r="C40" s="90" t="s">
        <v>110</v>
      </c>
      <c r="D40" s="90">
        <v>276.0</v>
      </c>
      <c r="E40" s="90">
        <v>143.0</v>
      </c>
      <c r="F40" s="77">
        <f t="shared" si="1"/>
        <v>-133</v>
      </c>
      <c r="G40" s="78">
        <f t="shared" ref="G40:G69" si="5">F40/D40%</f>
        <v>-48.1884058</v>
      </c>
      <c r="H40" s="78">
        <f t="shared" si="3"/>
        <v>0</v>
      </c>
    </row>
    <row r="41">
      <c r="A41" s="66">
        <v>32.0</v>
      </c>
      <c r="B41" s="16" t="s">
        <v>44</v>
      </c>
      <c r="C41" s="67" t="s">
        <v>46</v>
      </c>
      <c r="D41" s="69">
        <v>28.0</v>
      </c>
      <c r="E41" s="69">
        <v>34.0</v>
      </c>
      <c r="F41" s="69">
        <f t="shared" si="1"/>
        <v>6</v>
      </c>
      <c r="G41" s="70">
        <f t="shared" si="5"/>
        <v>21.42857143</v>
      </c>
      <c r="H41" s="70">
        <f t="shared" si="3"/>
        <v>1.071428571</v>
      </c>
    </row>
    <row r="42">
      <c r="A42" s="66">
        <v>33.0</v>
      </c>
      <c r="B42" s="16" t="s">
        <v>44</v>
      </c>
      <c r="C42" s="67" t="s">
        <v>48</v>
      </c>
      <c r="D42" s="69">
        <v>145.0</v>
      </c>
      <c r="E42" s="69">
        <v>163.0</v>
      </c>
      <c r="F42" s="69">
        <f t="shared" si="1"/>
        <v>18</v>
      </c>
      <c r="G42" s="70">
        <f t="shared" si="5"/>
        <v>12.4137931</v>
      </c>
      <c r="H42" s="70">
        <f t="shared" si="3"/>
        <v>0.6206896552</v>
      </c>
    </row>
    <row r="43">
      <c r="A43" s="66">
        <v>34.0</v>
      </c>
      <c r="B43" s="16" t="s">
        <v>44</v>
      </c>
      <c r="C43" s="67" t="s">
        <v>49</v>
      </c>
      <c r="D43" s="69">
        <v>326.0</v>
      </c>
      <c r="E43" s="69">
        <v>432.0</v>
      </c>
      <c r="F43" s="69">
        <f t="shared" si="1"/>
        <v>106</v>
      </c>
      <c r="G43" s="70">
        <f t="shared" si="5"/>
        <v>32.51533742</v>
      </c>
      <c r="H43" s="70">
        <f t="shared" si="3"/>
        <v>1.625766871</v>
      </c>
    </row>
    <row r="44">
      <c r="A44" s="66">
        <v>35.0</v>
      </c>
      <c r="B44" s="16" t="s">
        <v>44</v>
      </c>
      <c r="C44" s="72" t="s">
        <v>45</v>
      </c>
      <c r="D44" s="73">
        <v>2.0</v>
      </c>
      <c r="E44" s="73">
        <v>5.0</v>
      </c>
      <c r="F44" s="69">
        <f t="shared" si="1"/>
        <v>3</v>
      </c>
      <c r="G44" s="70">
        <f t="shared" si="5"/>
        <v>150</v>
      </c>
      <c r="H44" s="70">
        <f t="shared" si="3"/>
        <v>5</v>
      </c>
    </row>
    <row r="45">
      <c r="A45" s="66">
        <v>36.0</v>
      </c>
      <c r="B45" s="16" t="s">
        <v>44</v>
      </c>
      <c r="C45" s="72" t="s">
        <v>47</v>
      </c>
      <c r="D45" s="73">
        <v>5.0</v>
      </c>
      <c r="E45" s="73">
        <v>3.0</v>
      </c>
      <c r="F45" s="69">
        <f t="shared" si="1"/>
        <v>-2</v>
      </c>
      <c r="G45" s="70">
        <f t="shared" si="5"/>
        <v>-40</v>
      </c>
      <c r="H45" s="70">
        <f t="shared" si="3"/>
        <v>0</v>
      </c>
    </row>
    <row r="46">
      <c r="A46" s="66">
        <v>37.0</v>
      </c>
      <c r="B46" s="16" t="s">
        <v>44</v>
      </c>
      <c r="C46" s="72" t="s">
        <v>50</v>
      </c>
      <c r="D46" s="73">
        <v>4.0</v>
      </c>
      <c r="E46" s="73">
        <v>7.0</v>
      </c>
      <c r="F46" s="69">
        <f t="shared" si="1"/>
        <v>3</v>
      </c>
      <c r="G46" s="70">
        <f t="shared" si="5"/>
        <v>75</v>
      </c>
      <c r="H46" s="70">
        <f t="shared" si="3"/>
        <v>3.75</v>
      </c>
    </row>
    <row r="47">
      <c r="A47" s="66">
        <v>38.0</v>
      </c>
      <c r="B47" s="16" t="s">
        <v>44</v>
      </c>
      <c r="C47" s="72" t="s">
        <v>114</v>
      </c>
      <c r="D47" s="73">
        <v>25.0</v>
      </c>
      <c r="E47" s="73">
        <v>56.0</v>
      </c>
      <c r="F47" s="69">
        <f t="shared" si="1"/>
        <v>31</v>
      </c>
      <c r="G47" s="70">
        <f t="shared" si="5"/>
        <v>124</v>
      </c>
      <c r="H47" s="70">
        <f t="shared" si="3"/>
        <v>5</v>
      </c>
    </row>
    <row r="48">
      <c r="A48" s="74"/>
      <c r="B48" s="16" t="s">
        <v>44</v>
      </c>
      <c r="C48" s="90" t="s">
        <v>110</v>
      </c>
      <c r="D48" s="76">
        <v>535.0</v>
      </c>
      <c r="E48" s="76">
        <v>700.0</v>
      </c>
      <c r="F48" s="77">
        <f t="shared" si="1"/>
        <v>165</v>
      </c>
      <c r="G48" s="78">
        <f t="shared" si="5"/>
        <v>30.8411215</v>
      </c>
      <c r="H48" s="78">
        <f t="shared" si="3"/>
        <v>1.542056075</v>
      </c>
    </row>
    <row r="49">
      <c r="A49" s="66">
        <v>39.0</v>
      </c>
      <c r="B49" s="16" t="s">
        <v>52</v>
      </c>
      <c r="C49" s="67" t="s">
        <v>53</v>
      </c>
      <c r="D49" s="69">
        <v>23.0</v>
      </c>
      <c r="E49" s="69">
        <v>13.0</v>
      </c>
      <c r="F49" s="69">
        <f t="shared" si="1"/>
        <v>-10</v>
      </c>
      <c r="G49" s="70">
        <f t="shared" si="5"/>
        <v>-43.47826087</v>
      </c>
      <c r="H49" s="70">
        <f t="shared" si="3"/>
        <v>0</v>
      </c>
    </row>
    <row r="50">
      <c r="A50" s="66">
        <v>40.0</v>
      </c>
      <c r="B50" s="16" t="s">
        <v>52</v>
      </c>
      <c r="C50" s="67" t="s">
        <v>55</v>
      </c>
      <c r="D50" s="69">
        <v>1075.0</v>
      </c>
      <c r="E50" s="69">
        <v>2146.0</v>
      </c>
      <c r="F50" s="69">
        <f t="shared" si="1"/>
        <v>1071</v>
      </c>
      <c r="G50" s="70">
        <f t="shared" si="5"/>
        <v>99.62790698</v>
      </c>
      <c r="H50" s="70">
        <f t="shared" si="3"/>
        <v>4.981395349</v>
      </c>
    </row>
    <row r="51">
      <c r="A51" s="66">
        <v>41.0</v>
      </c>
      <c r="B51" s="16" t="s">
        <v>52</v>
      </c>
      <c r="C51" s="67" t="s">
        <v>56</v>
      </c>
      <c r="D51" s="69">
        <v>656.0</v>
      </c>
      <c r="E51" s="69">
        <v>783.0</v>
      </c>
      <c r="F51" s="69">
        <f t="shared" si="1"/>
        <v>127</v>
      </c>
      <c r="G51" s="70">
        <f t="shared" si="5"/>
        <v>19.3597561</v>
      </c>
      <c r="H51" s="70">
        <f t="shared" si="3"/>
        <v>0.9679878049</v>
      </c>
    </row>
    <row r="52">
      <c r="A52" s="66">
        <v>42.0</v>
      </c>
      <c r="B52" s="16" t="s">
        <v>52</v>
      </c>
      <c r="C52" s="67" t="s">
        <v>58</v>
      </c>
      <c r="D52" s="69">
        <v>4.0</v>
      </c>
      <c r="E52" s="69">
        <v>7.0</v>
      </c>
      <c r="F52" s="69">
        <f t="shared" si="1"/>
        <v>3</v>
      </c>
      <c r="G52" s="70">
        <f t="shared" si="5"/>
        <v>75</v>
      </c>
      <c r="H52" s="70">
        <f t="shared" si="3"/>
        <v>3.75</v>
      </c>
    </row>
    <row r="53">
      <c r="A53" s="66">
        <v>43.0</v>
      </c>
      <c r="B53" s="16" t="s">
        <v>52</v>
      </c>
      <c r="C53" s="72" t="s">
        <v>54</v>
      </c>
      <c r="D53" s="73">
        <v>18.0</v>
      </c>
      <c r="E53" s="73">
        <v>15.0</v>
      </c>
      <c r="F53" s="69">
        <f t="shared" si="1"/>
        <v>-3</v>
      </c>
      <c r="G53" s="70">
        <f t="shared" si="5"/>
        <v>-16.66666667</v>
      </c>
      <c r="H53" s="70">
        <f t="shared" si="3"/>
        <v>0</v>
      </c>
    </row>
    <row r="54">
      <c r="A54" s="66">
        <v>44.0</v>
      </c>
      <c r="B54" s="16" t="s">
        <v>52</v>
      </c>
      <c r="C54" s="72" t="s">
        <v>57</v>
      </c>
      <c r="D54" s="73">
        <v>8.0</v>
      </c>
      <c r="E54" s="73">
        <v>97.0</v>
      </c>
      <c r="F54" s="69">
        <f t="shared" si="1"/>
        <v>89</v>
      </c>
      <c r="G54" s="70">
        <f t="shared" si="5"/>
        <v>1112.5</v>
      </c>
      <c r="H54" s="70">
        <f t="shared" si="3"/>
        <v>5</v>
      </c>
    </row>
    <row r="55">
      <c r="A55" s="66">
        <v>45.0</v>
      </c>
      <c r="B55" s="16" t="s">
        <v>52</v>
      </c>
      <c r="C55" s="72" t="s">
        <v>115</v>
      </c>
      <c r="D55" s="73">
        <v>38.0</v>
      </c>
      <c r="E55" s="73">
        <v>22.0</v>
      </c>
      <c r="F55" s="69">
        <f t="shared" si="1"/>
        <v>-16</v>
      </c>
      <c r="G55" s="70">
        <f t="shared" si="5"/>
        <v>-42.10526316</v>
      </c>
      <c r="H55" s="70">
        <f t="shared" si="3"/>
        <v>0</v>
      </c>
    </row>
    <row r="56">
      <c r="A56" s="74"/>
      <c r="B56" s="16" t="s">
        <v>52</v>
      </c>
      <c r="C56" s="90" t="s">
        <v>110</v>
      </c>
      <c r="D56" s="76">
        <v>1822.0</v>
      </c>
      <c r="E56" s="76">
        <v>3083.0</v>
      </c>
      <c r="F56" s="77">
        <f t="shared" si="1"/>
        <v>1261</v>
      </c>
      <c r="G56" s="78">
        <f t="shared" si="5"/>
        <v>69.20965971</v>
      </c>
      <c r="H56" s="78">
        <f t="shared" si="3"/>
        <v>3.460482986</v>
      </c>
    </row>
    <row r="57">
      <c r="A57" s="66">
        <v>46.0</v>
      </c>
      <c r="B57" s="16" t="s">
        <v>60</v>
      </c>
      <c r="C57" s="67" t="s">
        <v>61</v>
      </c>
      <c r="D57" s="69">
        <v>5.0</v>
      </c>
      <c r="E57" s="69">
        <v>16.0</v>
      </c>
      <c r="F57" s="69">
        <f t="shared" si="1"/>
        <v>11</v>
      </c>
      <c r="G57" s="70">
        <f t="shared" si="5"/>
        <v>220</v>
      </c>
      <c r="H57" s="70">
        <f t="shared" si="3"/>
        <v>5</v>
      </c>
    </row>
    <row r="58">
      <c r="A58" s="66">
        <v>47.0</v>
      </c>
      <c r="B58" s="16" t="s">
        <v>60</v>
      </c>
      <c r="C58" s="67" t="s">
        <v>63</v>
      </c>
      <c r="D58" s="69">
        <v>99.0</v>
      </c>
      <c r="E58" s="69">
        <v>132.0</v>
      </c>
      <c r="F58" s="69">
        <f t="shared" si="1"/>
        <v>33</v>
      </c>
      <c r="G58" s="70">
        <f t="shared" si="5"/>
        <v>33.33333333</v>
      </c>
      <c r="H58" s="70">
        <f t="shared" si="3"/>
        <v>1.666666667</v>
      </c>
    </row>
    <row r="59">
      <c r="A59" s="66">
        <v>48.0</v>
      </c>
      <c r="B59" s="16" t="s">
        <v>60</v>
      </c>
      <c r="C59" s="72" t="s">
        <v>62</v>
      </c>
      <c r="D59" s="73">
        <v>2.0</v>
      </c>
      <c r="E59" s="73">
        <v>0.0</v>
      </c>
      <c r="F59" s="69">
        <f t="shared" si="1"/>
        <v>-2</v>
      </c>
      <c r="G59" s="70">
        <f t="shared" si="5"/>
        <v>-100</v>
      </c>
      <c r="H59" s="70">
        <f t="shared" si="3"/>
        <v>0</v>
      </c>
    </row>
    <row r="60">
      <c r="A60" s="66">
        <v>49.0</v>
      </c>
      <c r="B60" s="16" t="s">
        <v>60</v>
      </c>
      <c r="C60" s="72" t="s">
        <v>116</v>
      </c>
      <c r="D60" s="73">
        <v>20.0</v>
      </c>
      <c r="E60" s="73">
        <v>3.0</v>
      </c>
      <c r="F60" s="69">
        <f t="shared" si="1"/>
        <v>-17</v>
      </c>
      <c r="G60" s="70">
        <f t="shared" si="5"/>
        <v>-85</v>
      </c>
      <c r="H60" s="70">
        <f t="shared" si="3"/>
        <v>0</v>
      </c>
    </row>
    <row r="61">
      <c r="A61" s="66">
        <v>50.0</v>
      </c>
      <c r="B61" s="16" t="s">
        <v>60</v>
      </c>
      <c r="C61" s="72" t="s">
        <v>64</v>
      </c>
      <c r="D61" s="73">
        <v>10.0</v>
      </c>
      <c r="E61" s="73">
        <v>6.0</v>
      </c>
      <c r="F61" s="69">
        <f t="shared" si="1"/>
        <v>-4</v>
      </c>
      <c r="G61" s="70">
        <f t="shared" si="5"/>
        <v>-40</v>
      </c>
      <c r="H61" s="70">
        <f t="shared" si="3"/>
        <v>0</v>
      </c>
    </row>
    <row r="62">
      <c r="A62" s="74"/>
      <c r="B62" s="16" t="s">
        <v>60</v>
      </c>
      <c r="C62" s="90" t="s">
        <v>110</v>
      </c>
      <c r="D62" s="76">
        <v>136.0</v>
      </c>
      <c r="E62" s="76">
        <v>157.0</v>
      </c>
      <c r="F62" s="77">
        <f t="shared" si="1"/>
        <v>21</v>
      </c>
      <c r="G62" s="78">
        <f t="shared" si="5"/>
        <v>15.44117647</v>
      </c>
      <c r="H62" s="78">
        <f t="shared" si="3"/>
        <v>0.7720588235</v>
      </c>
    </row>
    <row r="63">
      <c r="A63" s="66">
        <v>51.0</v>
      </c>
      <c r="B63" s="16" t="s">
        <v>66</v>
      </c>
      <c r="C63" s="67" t="s">
        <v>70</v>
      </c>
      <c r="D63" s="69">
        <v>144.0</v>
      </c>
      <c r="E63" s="69">
        <v>99.0</v>
      </c>
      <c r="F63" s="69">
        <f t="shared" si="1"/>
        <v>-45</v>
      </c>
      <c r="G63" s="70">
        <f t="shared" si="5"/>
        <v>-31.25</v>
      </c>
      <c r="H63" s="70">
        <f t="shared" si="3"/>
        <v>0</v>
      </c>
    </row>
    <row r="64">
      <c r="A64" s="66">
        <v>52.0</v>
      </c>
      <c r="B64" s="16" t="s">
        <v>66</v>
      </c>
      <c r="C64" s="67" t="s">
        <v>71</v>
      </c>
      <c r="D64" s="69">
        <v>199.0</v>
      </c>
      <c r="E64" s="69">
        <v>483.0</v>
      </c>
      <c r="F64" s="69">
        <f t="shared" si="1"/>
        <v>284</v>
      </c>
      <c r="G64" s="70">
        <f t="shared" si="5"/>
        <v>142.7135678</v>
      </c>
      <c r="H64" s="70">
        <f t="shared" si="3"/>
        <v>5</v>
      </c>
    </row>
    <row r="65">
      <c r="A65" s="66">
        <v>53.0</v>
      </c>
      <c r="B65" s="16" t="s">
        <v>66</v>
      </c>
      <c r="C65" s="72" t="s">
        <v>67</v>
      </c>
      <c r="D65" s="73">
        <v>3.0</v>
      </c>
      <c r="E65" s="73">
        <v>5.0</v>
      </c>
      <c r="F65" s="69">
        <f t="shared" si="1"/>
        <v>2</v>
      </c>
      <c r="G65" s="70">
        <f t="shared" si="5"/>
        <v>66.66666667</v>
      </c>
      <c r="H65" s="70">
        <f t="shared" si="3"/>
        <v>3.333333333</v>
      </c>
    </row>
    <row r="66">
      <c r="A66" s="66">
        <v>54.0</v>
      </c>
      <c r="B66" s="16" t="s">
        <v>66</v>
      </c>
      <c r="C66" s="72" t="s">
        <v>68</v>
      </c>
      <c r="D66" s="73">
        <v>7.0</v>
      </c>
      <c r="E66" s="73">
        <v>10.0</v>
      </c>
      <c r="F66" s="69">
        <f t="shared" si="1"/>
        <v>3</v>
      </c>
      <c r="G66" s="70">
        <f t="shared" si="5"/>
        <v>42.85714286</v>
      </c>
      <c r="H66" s="70">
        <f t="shared" si="3"/>
        <v>2.142857143</v>
      </c>
    </row>
    <row r="67">
      <c r="A67" s="66">
        <v>55.0</v>
      </c>
      <c r="B67" s="16" t="s">
        <v>66</v>
      </c>
      <c r="C67" s="72" t="s">
        <v>69</v>
      </c>
      <c r="D67" s="73">
        <v>10.0</v>
      </c>
      <c r="E67" s="73">
        <v>17.0</v>
      </c>
      <c r="F67" s="69">
        <f t="shared" si="1"/>
        <v>7</v>
      </c>
      <c r="G67" s="70">
        <f t="shared" si="5"/>
        <v>70</v>
      </c>
      <c r="H67" s="70">
        <f t="shared" si="3"/>
        <v>3.5</v>
      </c>
    </row>
    <row r="68">
      <c r="A68" s="74"/>
      <c r="B68" s="16" t="s">
        <v>66</v>
      </c>
      <c r="C68" s="90" t="s">
        <v>110</v>
      </c>
      <c r="D68" s="76">
        <v>363.0</v>
      </c>
      <c r="E68" s="76">
        <v>614.0</v>
      </c>
      <c r="F68" s="77">
        <f t="shared" si="1"/>
        <v>251</v>
      </c>
      <c r="G68" s="78">
        <f t="shared" si="5"/>
        <v>69.14600551</v>
      </c>
      <c r="H68" s="78">
        <f t="shared" si="3"/>
        <v>3.457300275</v>
      </c>
    </row>
    <row r="69">
      <c r="A69" s="94">
        <v>56.0</v>
      </c>
      <c r="B69" s="95" t="s">
        <v>73</v>
      </c>
      <c r="C69" s="96" t="s">
        <v>117</v>
      </c>
      <c r="D69" s="94">
        <v>7803.0</v>
      </c>
      <c r="E69" s="94">
        <v>8843.0</v>
      </c>
      <c r="F69" s="77">
        <f t="shared" si="1"/>
        <v>1040</v>
      </c>
      <c r="G69" s="78">
        <f t="shared" si="5"/>
        <v>13.3282071</v>
      </c>
      <c r="H69" s="78">
        <f t="shared" si="3"/>
        <v>0.666410355</v>
      </c>
    </row>
    <row r="70">
      <c r="G70" s="71"/>
    </row>
    <row r="71">
      <c r="G71" s="71"/>
    </row>
    <row r="72">
      <c r="G72" s="71"/>
    </row>
    <row r="73">
      <c r="G73" s="71"/>
    </row>
    <row r="74">
      <c r="G74" s="71"/>
    </row>
    <row r="75">
      <c r="G75" s="71"/>
    </row>
    <row r="76">
      <c r="G76" s="71"/>
    </row>
    <row r="77">
      <c r="G77" s="71"/>
    </row>
    <row r="78">
      <c r="G78" s="71"/>
    </row>
    <row r="79">
      <c r="G79" s="71"/>
    </row>
    <row r="80">
      <c r="G80" s="71"/>
    </row>
    <row r="81">
      <c r="G81" s="71"/>
    </row>
    <row r="82">
      <c r="G82" s="71"/>
    </row>
    <row r="83">
      <c r="G83" s="71"/>
    </row>
    <row r="84">
      <c r="G84" s="71"/>
    </row>
    <row r="85">
      <c r="G85" s="71"/>
    </row>
    <row r="86">
      <c r="G86" s="71"/>
    </row>
    <row r="87">
      <c r="G87" s="71"/>
    </row>
    <row r="88">
      <c r="G88" s="71"/>
    </row>
    <row r="89">
      <c r="G89" s="71"/>
    </row>
    <row r="90">
      <c r="G90" s="71"/>
    </row>
    <row r="91">
      <c r="G91" s="71"/>
    </row>
    <row r="92">
      <c r="G92" s="71"/>
    </row>
    <row r="93">
      <c r="G93" s="71"/>
    </row>
    <row r="94">
      <c r="G94" s="71"/>
    </row>
    <row r="95">
      <c r="G95" s="71"/>
    </row>
    <row r="96">
      <c r="G96" s="71"/>
    </row>
    <row r="97">
      <c r="G97" s="71"/>
    </row>
    <row r="98">
      <c r="G98" s="71"/>
    </row>
    <row r="99">
      <c r="G99" s="71"/>
    </row>
    <row r="100">
      <c r="G100" s="71"/>
    </row>
    <row r="101">
      <c r="G101" s="71"/>
    </row>
    <row r="102">
      <c r="G102" s="71"/>
    </row>
    <row r="103">
      <c r="G103" s="71"/>
    </row>
    <row r="104">
      <c r="G104" s="71"/>
    </row>
    <row r="105">
      <c r="G105" s="71"/>
    </row>
    <row r="106">
      <c r="G106" s="71"/>
    </row>
    <row r="107">
      <c r="G107" s="71"/>
    </row>
    <row r="108">
      <c r="G108" s="71"/>
    </row>
    <row r="109">
      <c r="G109" s="71"/>
    </row>
    <row r="110">
      <c r="G110" s="71"/>
    </row>
    <row r="111">
      <c r="G111" s="71"/>
    </row>
    <row r="112">
      <c r="G112" s="71"/>
    </row>
    <row r="113">
      <c r="G113" s="71"/>
    </row>
    <row r="114">
      <c r="G114" s="71"/>
    </row>
    <row r="115">
      <c r="G115" s="71"/>
    </row>
    <row r="116">
      <c r="G116" s="71"/>
    </row>
    <row r="117">
      <c r="G117" s="71"/>
    </row>
    <row r="118">
      <c r="G118" s="71"/>
    </row>
    <row r="119">
      <c r="G119" s="71"/>
    </row>
    <row r="120">
      <c r="G120" s="71"/>
    </row>
    <row r="121">
      <c r="G121" s="71"/>
    </row>
    <row r="122">
      <c r="G122" s="71"/>
    </row>
    <row r="123">
      <c r="G123" s="71"/>
    </row>
    <row r="124">
      <c r="G124" s="71"/>
    </row>
    <row r="125">
      <c r="G125" s="71"/>
    </row>
    <row r="126">
      <c r="G126" s="71"/>
    </row>
    <row r="127">
      <c r="G127" s="71"/>
    </row>
    <row r="128">
      <c r="G128" s="71"/>
    </row>
    <row r="129">
      <c r="G129" s="71"/>
    </row>
    <row r="130">
      <c r="G130" s="71"/>
    </row>
    <row r="131">
      <c r="G131" s="71"/>
    </row>
    <row r="132">
      <c r="G132" s="71"/>
    </row>
    <row r="133">
      <c r="G133" s="71"/>
    </row>
    <row r="134">
      <c r="G134" s="71"/>
    </row>
    <row r="135">
      <c r="G135" s="71"/>
    </row>
    <row r="136">
      <c r="G136" s="71"/>
    </row>
    <row r="137">
      <c r="G137" s="71"/>
    </row>
    <row r="138">
      <c r="G138" s="71"/>
    </row>
    <row r="139">
      <c r="G139" s="71"/>
    </row>
    <row r="140">
      <c r="G140" s="71"/>
    </row>
    <row r="141">
      <c r="G141" s="71"/>
    </row>
    <row r="142">
      <c r="G142" s="71"/>
    </row>
    <row r="143">
      <c r="G143" s="71"/>
    </row>
    <row r="144">
      <c r="G144" s="71"/>
    </row>
    <row r="145">
      <c r="G145" s="71"/>
    </row>
    <row r="146">
      <c r="G146" s="71"/>
    </row>
    <row r="147">
      <c r="G147" s="71"/>
    </row>
    <row r="148">
      <c r="G148" s="71"/>
    </row>
    <row r="149">
      <c r="G149" s="71"/>
    </row>
    <row r="150">
      <c r="G150" s="71"/>
    </row>
    <row r="151">
      <c r="G151" s="71"/>
    </row>
    <row r="152">
      <c r="G152" s="71"/>
    </row>
    <row r="153">
      <c r="G153" s="71"/>
    </row>
    <row r="154">
      <c r="G154" s="71"/>
    </row>
    <row r="155">
      <c r="G155" s="71"/>
    </row>
    <row r="156">
      <c r="G156" s="71"/>
    </row>
    <row r="157">
      <c r="G157" s="71"/>
    </row>
    <row r="158">
      <c r="G158" s="71"/>
    </row>
    <row r="159">
      <c r="G159" s="71"/>
    </row>
    <row r="160">
      <c r="G160" s="71"/>
    </row>
    <row r="161">
      <c r="G161" s="71"/>
    </row>
    <row r="162">
      <c r="G162" s="71"/>
    </row>
    <row r="163">
      <c r="G163" s="71"/>
    </row>
    <row r="164">
      <c r="G164" s="71"/>
    </row>
    <row r="165">
      <c r="G165" s="71"/>
    </row>
    <row r="166">
      <c r="G166" s="71"/>
    </row>
    <row r="167">
      <c r="G167" s="71"/>
    </row>
    <row r="168">
      <c r="G168" s="71"/>
    </row>
    <row r="169">
      <c r="G169" s="71"/>
    </row>
    <row r="170">
      <c r="G170" s="71"/>
    </row>
    <row r="171">
      <c r="G171" s="71"/>
    </row>
    <row r="172">
      <c r="G172" s="71"/>
    </row>
    <row r="173">
      <c r="G173" s="71"/>
    </row>
    <row r="174">
      <c r="G174" s="71"/>
    </row>
    <row r="175">
      <c r="G175" s="71"/>
    </row>
    <row r="176">
      <c r="G176" s="71"/>
    </row>
    <row r="177">
      <c r="G177" s="71"/>
    </row>
    <row r="178">
      <c r="G178" s="71"/>
    </row>
    <row r="179">
      <c r="G179" s="71"/>
    </row>
    <row r="180">
      <c r="G180" s="71"/>
    </row>
    <row r="181">
      <c r="G181" s="71"/>
    </row>
    <row r="182">
      <c r="G182" s="71"/>
    </row>
    <row r="183">
      <c r="G183" s="71"/>
    </row>
    <row r="184">
      <c r="G184" s="71"/>
    </row>
    <row r="185">
      <c r="G185" s="71"/>
    </row>
    <row r="186">
      <c r="G186" s="71"/>
    </row>
    <row r="187">
      <c r="G187" s="71"/>
    </row>
    <row r="188">
      <c r="G188" s="71"/>
    </row>
    <row r="189">
      <c r="G189" s="71"/>
    </row>
    <row r="190">
      <c r="G190" s="71"/>
    </row>
    <row r="191">
      <c r="G191" s="71"/>
    </row>
    <row r="192">
      <c r="G192" s="71"/>
    </row>
    <row r="193">
      <c r="G193" s="71"/>
    </row>
    <row r="194">
      <c r="G194" s="71"/>
    </row>
    <row r="195">
      <c r="G195" s="71"/>
    </row>
    <row r="196">
      <c r="G196" s="71"/>
    </row>
    <row r="197">
      <c r="G197" s="71"/>
    </row>
    <row r="198">
      <c r="G198" s="71"/>
    </row>
    <row r="199">
      <c r="G199" s="71"/>
    </row>
    <row r="200">
      <c r="G200" s="71"/>
    </row>
    <row r="201">
      <c r="G201" s="71"/>
    </row>
    <row r="202">
      <c r="G202" s="71"/>
    </row>
    <row r="203">
      <c r="G203" s="71"/>
    </row>
    <row r="204">
      <c r="G204" s="71"/>
    </row>
    <row r="205">
      <c r="G205" s="71"/>
    </row>
    <row r="206">
      <c r="G206" s="71"/>
    </row>
    <row r="207">
      <c r="G207" s="71"/>
    </row>
    <row r="208">
      <c r="G208" s="71"/>
    </row>
    <row r="209">
      <c r="G209" s="71"/>
    </row>
    <row r="210">
      <c r="G210" s="71"/>
    </row>
    <row r="211">
      <c r="G211" s="71"/>
    </row>
    <row r="212">
      <c r="G212" s="71"/>
    </row>
    <row r="213">
      <c r="G213" s="71"/>
    </row>
    <row r="214">
      <c r="G214" s="71"/>
    </row>
    <row r="215">
      <c r="G215" s="71"/>
    </row>
    <row r="216">
      <c r="G216" s="71"/>
    </row>
    <row r="217">
      <c r="G217" s="71"/>
    </row>
    <row r="218">
      <c r="G218" s="71"/>
    </row>
    <row r="219">
      <c r="G219" s="71"/>
    </row>
    <row r="220">
      <c r="G220" s="71"/>
    </row>
    <row r="221">
      <c r="G221" s="71"/>
    </row>
    <row r="222">
      <c r="G222" s="71"/>
    </row>
    <row r="223">
      <c r="G223" s="71"/>
    </row>
    <row r="224">
      <c r="G224" s="71"/>
    </row>
    <row r="225">
      <c r="G225" s="71"/>
    </row>
    <row r="226">
      <c r="G226" s="71"/>
    </row>
    <row r="227">
      <c r="G227" s="71"/>
    </row>
    <row r="228">
      <c r="G228" s="71"/>
    </row>
    <row r="229">
      <c r="G229" s="71"/>
    </row>
    <row r="230">
      <c r="G230" s="71"/>
    </row>
    <row r="231">
      <c r="G231" s="71"/>
    </row>
    <row r="232">
      <c r="G232" s="71"/>
    </row>
    <row r="233">
      <c r="G233" s="71"/>
    </row>
    <row r="234">
      <c r="G234" s="71"/>
    </row>
    <row r="235">
      <c r="G235" s="71"/>
    </row>
    <row r="236">
      <c r="G236" s="71"/>
    </row>
    <row r="237">
      <c r="G237" s="71"/>
    </row>
    <row r="238">
      <c r="G238" s="71"/>
    </row>
    <row r="239">
      <c r="G239" s="71"/>
    </row>
    <row r="240">
      <c r="G240" s="71"/>
    </row>
    <row r="241">
      <c r="G241" s="71"/>
    </row>
    <row r="242">
      <c r="G242" s="71"/>
    </row>
    <row r="243">
      <c r="G243" s="71"/>
    </row>
    <row r="244">
      <c r="G244" s="71"/>
    </row>
    <row r="245">
      <c r="G245" s="71"/>
    </row>
    <row r="246">
      <c r="G246" s="71"/>
    </row>
    <row r="247">
      <c r="G247" s="71"/>
    </row>
    <row r="248">
      <c r="G248" s="71"/>
    </row>
    <row r="249">
      <c r="G249" s="71"/>
    </row>
    <row r="250">
      <c r="G250" s="71"/>
    </row>
    <row r="251">
      <c r="G251" s="71"/>
    </row>
    <row r="252">
      <c r="G252" s="71"/>
    </row>
    <row r="253">
      <c r="G253" s="71"/>
    </row>
    <row r="254">
      <c r="G254" s="71"/>
    </row>
    <row r="255">
      <c r="G255" s="71"/>
    </row>
    <row r="256">
      <c r="G256" s="71"/>
    </row>
    <row r="257">
      <c r="G257" s="71"/>
    </row>
    <row r="258">
      <c r="G258" s="71"/>
    </row>
    <row r="259">
      <c r="G259" s="71"/>
    </row>
    <row r="260">
      <c r="G260" s="71"/>
    </row>
    <row r="261">
      <c r="G261" s="71"/>
    </row>
    <row r="262">
      <c r="G262" s="71"/>
    </row>
    <row r="263">
      <c r="G263" s="71"/>
    </row>
    <row r="264">
      <c r="G264" s="71"/>
    </row>
    <row r="265">
      <c r="G265" s="71"/>
    </row>
    <row r="266">
      <c r="G266" s="71"/>
    </row>
    <row r="267">
      <c r="G267" s="71"/>
    </row>
    <row r="268">
      <c r="G268" s="71"/>
    </row>
    <row r="269">
      <c r="G269" s="71"/>
    </row>
    <row r="270">
      <c r="G270" s="71"/>
    </row>
    <row r="271">
      <c r="G271" s="71"/>
    </row>
    <row r="272">
      <c r="G272" s="71"/>
    </row>
    <row r="273">
      <c r="G273" s="71"/>
    </row>
    <row r="274">
      <c r="G274" s="71"/>
    </row>
    <row r="275">
      <c r="G275" s="71"/>
    </row>
    <row r="276">
      <c r="G276" s="71"/>
    </row>
    <row r="277">
      <c r="G277" s="71"/>
    </row>
    <row r="278">
      <c r="G278" s="71"/>
    </row>
    <row r="279">
      <c r="G279" s="71"/>
    </row>
    <row r="280">
      <c r="G280" s="71"/>
    </row>
    <row r="281">
      <c r="G281" s="71"/>
    </row>
    <row r="282">
      <c r="G282" s="71"/>
    </row>
    <row r="283">
      <c r="G283" s="71"/>
    </row>
    <row r="284">
      <c r="G284" s="71"/>
    </row>
    <row r="285">
      <c r="G285" s="71"/>
    </row>
    <row r="286">
      <c r="G286" s="71"/>
    </row>
    <row r="287">
      <c r="G287" s="71"/>
    </row>
    <row r="288">
      <c r="G288" s="71"/>
    </row>
    <row r="289">
      <c r="G289" s="71"/>
    </row>
    <row r="290">
      <c r="G290" s="71"/>
    </row>
    <row r="291">
      <c r="G291" s="71"/>
    </row>
    <row r="292">
      <c r="G292" s="71"/>
    </row>
    <row r="293">
      <c r="G293" s="71"/>
    </row>
    <row r="294">
      <c r="G294" s="71"/>
    </row>
    <row r="295">
      <c r="G295" s="71"/>
    </row>
    <row r="296">
      <c r="G296" s="71"/>
    </row>
    <row r="297">
      <c r="G297" s="71"/>
    </row>
    <row r="298">
      <c r="G298" s="71"/>
    </row>
    <row r="299">
      <c r="G299" s="71"/>
    </row>
    <row r="300">
      <c r="G300" s="71"/>
    </row>
    <row r="301">
      <c r="G301" s="71"/>
    </row>
    <row r="302">
      <c r="G302" s="71"/>
    </row>
    <row r="303">
      <c r="G303" s="71"/>
    </row>
    <row r="304">
      <c r="G304" s="71"/>
    </row>
    <row r="305">
      <c r="G305" s="71"/>
    </row>
    <row r="306">
      <c r="G306" s="71"/>
    </row>
    <row r="307">
      <c r="G307" s="71"/>
    </row>
    <row r="308">
      <c r="G308" s="71"/>
    </row>
    <row r="309">
      <c r="G309" s="71"/>
    </row>
    <row r="310">
      <c r="G310" s="71"/>
    </row>
    <row r="311">
      <c r="G311" s="71"/>
    </row>
    <row r="312">
      <c r="G312" s="71"/>
    </row>
    <row r="313">
      <c r="G313" s="71"/>
    </row>
    <row r="314">
      <c r="G314" s="71"/>
    </row>
    <row r="315">
      <c r="G315" s="71"/>
    </row>
    <row r="316">
      <c r="G316" s="71"/>
    </row>
    <row r="317">
      <c r="G317" s="71"/>
    </row>
    <row r="318">
      <c r="G318" s="71"/>
    </row>
    <row r="319">
      <c r="G319" s="71"/>
    </row>
    <row r="320">
      <c r="G320" s="71"/>
    </row>
    <row r="321">
      <c r="G321" s="71"/>
    </row>
    <row r="322">
      <c r="G322" s="71"/>
    </row>
    <row r="323">
      <c r="G323" s="71"/>
    </row>
    <row r="324">
      <c r="G324" s="71"/>
    </row>
    <row r="325">
      <c r="G325" s="71"/>
    </row>
    <row r="326">
      <c r="G326" s="71"/>
    </row>
    <row r="327">
      <c r="G327" s="71"/>
    </row>
    <row r="328">
      <c r="G328" s="71"/>
    </row>
    <row r="329">
      <c r="G329" s="71"/>
    </row>
    <row r="330">
      <c r="G330" s="71"/>
    </row>
    <row r="331">
      <c r="G331" s="71"/>
    </row>
    <row r="332">
      <c r="G332" s="71"/>
    </row>
    <row r="333">
      <c r="G333" s="71"/>
    </row>
    <row r="334">
      <c r="G334" s="71"/>
    </row>
    <row r="335">
      <c r="G335" s="71"/>
    </row>
    <row r="336">
      <c r="G336" s="71"/>
    </row>
    <row r="337">
      <c r="G337" s="71"/>
    </row>
    <row r="338">
      <c r="G338" s="71"/>
    </row>
    <row r="339">
      <c r="G339" s="71"/>
    </row>
    <row r="340">
      <c r="G340" s="71"/>
    </row>
    <row r="341">
      <c r="G341" s="71"/>
    </row>
    <row r="342">
      <c r="G342" s="71"/>
    </row>
    <row r="343">
      <c r="G343" s="71"/>
    </row>
    <row r="344">
      <c r="G344" s="71"/>
    </row>
    <row r="345">
      <c r="G345" s="71"/>
    </row>
    <row r="346">
      <c r="G346" s="71"/>
    </row>
    <row r="347">
      <c r="G347" s="71"/>
    </row>
    <row r="348">
      <c r="G348" s="71"/>
    </row>
    <row r="349">
      <c r="G349" s="71"/>
    </row>
    <row r="350">
      <c r="G350" s="71"/>
    </row>
    <row r="351">
      <c r="G351" s="71"/>
    </row>
    <row r="352">
      <c r="G352" s="71"/>
    </row>
    <row r="353">
      <c r="G353" s="71"/>
    </row>
    <row r="354">
      <c r="G354" s="71"/>
    </row>
    <row r="355">
      <c r="G355" s="71"/>
    </row>
    <row r="356">
      <c r="G356" s="71"/>
    </row>
    <row r="357">
      <c r="G357" s="71"/>
    </row>
    <row r="358">
      <c r="G358" s="71"/>
    </row>
    <row r="359">
      <c r="G359" s="71"/>
    </row>
    <row r="360">
      <c r="G360" s="71"/>
    </row>
    <row r="361">
      <c r="G361" s="71"/>
    </row>
    <row r="362">
      <c r="G362" s="71"/>
    </row>
    <row r="363">
      <c r="G363" s="71"/>
    </row>
    <row r="364">
      <c r="G364" s="71"/>
    </row>
    <row r="365">
      <c r="G365" s="71"/>
    </row>
    <row r="366">
      <c r="G366" s="71"/>
    </row>
    <row r="367">
      <c r="G367" s="71"/>
    </row>
    <row r="368">
      <c r="G368" s="71"/>
    </row>
    <row r="369">
      <c r="G369" s="71"/>
    </row>
    <row r="370">
      <c r="G370" s="71"/>
    </row>
    <row r="371">
      <c r="G371" s="71"/>
    </row>
    <row r="372">
      <c r="G372" s="71"/>
    </row>
    <row r="373">
      <c r="G373" s="71"/>
    </row>
    <row r="374">
      <c r="G374" s="71"/>
    </row>
    <row r="375">
      <c r="G375" s="71"/>
    </row>
    <row r="376">
      <c r="G376" s="71"/>
    </row>
    <row r="377">
      <c r="G377" s="71"/>
    </row>
    <row r="378">
      <c r="G378" s="71"/>
    </row>
    <row r="379">
      <c r="G379" s="71"/>
    </row>
    <row r="380">
      <c r="G380" s="71"/>
    </row>
    <row r="381">
      <c r="G381" s="71"/>
    </row>
    <row r="382">
      <c r="G382" s="71"/>
    </row>
    <row r="383">
      <c r="G383" s="71"/>
    </row>
    <row r="384">
      <c r="G384" s="71"/>
    </row>
    <row r="385">
      <c r="G385" s="71"/>
    </row>
    <row r="386">
      <c r="G386" s="71"/>
    </row>
    <row r="387">
      <c r="G387" s="71"/>
    </row>
    <row r="388">
      <c r="G388" s="71"/>
    </row>
    <row r="389">
      <c r="G389" s="71"/>
    </row>
    <row r="390">
      <c r="G390" s="71"/>
    </row>
    <row r="391">
      <c r="G391" s="71"/>
    </row>
    <row r="392">
      <c r="G392" s="71"/>
    </row>
    <row r="393">
      <c r="G393" s="71"/>
    </row>
    <row r="394">
      <c r="G394" s="71"/>
    </row>
    <row r="395">
      <c r="G395" s="71"/>
    </row>
    <row r="396">
      <c r="G396" s="71"/>
    </row>
    <row r="397">
      <c r="G397" s="71"/>
    </row>
    <row r="398">
      <c r="G398" s="71"/>
    </row>
    <row r="399">
      <c r="G399" s="71"/>
    </row>
    <row r="400">
      <c r="G400" s="71"/>
    </row>
    <row r="401">
      <c r="G401" s="71"/>
    </row>
    <row r="402">
      <c r="G402" s="71"/>
    </row>
    <row r="403">
      <c r="G403" s="71"/>
    </row>
    <row r="404">
      <c r="G404" s="71"/>
    </row>
    <row r="405">
      <c r="G405" s="71"/>
    </row>
    <row r="406">
      <c r="G406" s="71"/>
    </row>
    <row r="407">
      <c r="G407" s="71"/>
    </row>
    <row r="408">
      <c r="G408" s="71"/>
    </row>
    <row r="409">
      <c r="G409" s="71"/>
    </row>
    <row r="410">
      <c r="G410" s="71"/>
    </row>
    <row r="411">
      <c r="G411" s="71"/>
    </row>
    <row r="412">
      <c r="G412" s="71"/>
    </row>
    <row r="413">
      <c r="G413" s="71"/>
    </row>
    <row r="414">
      <c r="G414" s="71"/>
    </row>
    <row r="415">
      <c r="G415" s="71"/>
    </row>
    <row r="416">
      <c r="G416" s="71"/>
    </row>
    <row r="417">
      <c r="G417" s="71"/>
    </row>
    <row r="418">
      <c r="G418" s="71"/>
    </row>
    <row r="419">
      <c r="G419" s="71"/>
    </row>
    <row r="420">
      <c r="G420" s="71"/>
    </row>
    <row r="421">
      <c r="G421" s="71"/>
    </row>
    <row r="422">
      <c r="G422" s="71"/>
    </row>
    <row r="423">
      <c r="G423" s="71"/>
    </row>
    <row r="424">
      <c r="G424" s="71"/>
    </row>
    <row r="425">
      <c r="G425" s="71"/>
    </row>
    <row r="426">
      <c r="G426" s="71"/>
    </row>
    <row r="427">
      <c r="G427" s="71"/>
    </row>
    <row r="428">
      <c r="G428" s="71"/>
    </row>
    <row r="429">
      <c r="G429" s="71"/>
    </row>
    <row r="430">
      <c r="G430" s="71"/>
    </row>
    <row r="431">
      <c r="G431" s="71"/>
    </row>
    <row r="432">
      <c r="G432" s="71"/>
    </row>
    <row r="433">
      <c r="G433" s="71"/>
    </row>
    <row r="434">
      <c r="G434" s="71"/>
    </row>
    <row r="435">
      <c r="G435" s="71"/>
    </row>
    <row r="436">
      <c r="G436" s="71"/>
    </row>
    <row r="437">
      <c r="G437" s="71"/>
    </row>
    <row r="438">
      <c r="G438" s="71"/>
    </row>
    <row r="439">
      <c r="G439" s="71"/>
    </row>
    <row r="440">
      <c r="G440" s="71"/>
    </row>
    <row r="441">
      <c r="G441" s="71"/>
    </row>
    <row r="442">
      <c r="G442" s="71"/>
    </row>
    <row r="443">
      <c r="G443" s="71"/>
    </row>
    <row r="444">
      <c r="G444" s="71"/>
    </row>
    <row r="445">
      <c r="G445" s="71"/>
    </row>
    <row r="446">
      <c r="G446" s="71"/>
    </row>
    <row r="447">
      <c r="G447" s="71"/>
    </row>
    <row r="448">
      <c r="G448" s="71"/>
    </row>
    <row r="449">
      <c r="G449" s="71"/>
    </row>
    <row r="450">
      <c r="G450" s="71"/>
    </row>
    <row r="451">
      <c r="G451" s="71"/>
    </row>
    <row r="452">
      <c r="G452" s="71"/>
    </row>
    <row r="453">
      <c r="G453" s="71"/>
    </row>
    <row r="454">
      <c r="G454" s="71"/>
    </row>
    <row r="455">
      <c r="G455" s="71"/>
    </row>
    <row r="456">
      <c r="G456" s="71"/>
    </row>
    <row r="457">
      <c r="G457" s="71"/>
    </row>
    <row r="458">
      <c r="G458" s="71"/>
    </row>
    <row r="459">
      <c r="G459" s="71"/>
    </row>
    <row r="460">
      <c r="G460" s="71"/>
    </row>
    <row r="461">
      <c r="G461" s="71"/>
    </row>
    <row r="462">
      <c r="G462" s="71"/>
    </row>
    <row r="463">
      <c r="G463" s="71"/>
    </row>
    <row r="464">
      <c r="G464" s="71"/>
    </row>
    <row r="465">
      <c r="G465" s="71"/>
    </row>
    <row r="466">
      <c r="G466" s="71"/>
    </row>
    <row r="467">
      <c r="G467" s="71"/>
    </row>
    <row r="468">
      <c r="G468" s="71"/>
    </row>
    <row r="469">
      <c r="G469" s="71"/>
    </row>
    <row r="470">
      <c r="G470" s="71"/>
    </row>
    <row r="471">
      <c r="G471" s="71"/>
    </row>
    <row r="472">
      <c r="G472" s="71"/>
    </row>
    <row r="473">
      <c r="G473" s="71"/>
    </row>
    <row r="474">
      <c r="G474" s="71"/>
    </row>
    <row r="475">
      <c r="G475" s="71"/>
    </row>
    <row r="476">
      <c r="G476" s="71"/>
    </row>
    <row r="477">
      <c r="G477" s="71"/>
    </row>
    <row r="478">
      <c r="G478" s="71"/>
    </row>
    <row r="479">
      <c r="G479" s="71"/>
    </row>
    <row r="480">
      <c r="G480" s="71"/>
    </row>
    <row r="481">
      <c r="G481" s="71"/>
    </row>
    <row r="482">
      <c r="G482" s="71"/>
    </row>
    <row r="483">
      <c r="G483" s="71"/>
    </row>
    <row r="484">
      <c r="G484" s="71"/>
    </row>
    <row r="485">
      <c r="G485" s="71"/>
    </row>
    <row r="486">
      <c r="G486" s="71"/>
    </row>
    <row r="487">
      <c r="G487" s="71"/>
    </row>
    <row r="488">
      <c r="G488" s="71"/>
    </row>
    <row r="489">
      <c r="G489" s="71"/>
    </row>
    <row r="490">
      <c r="G490" s="71"/>
    </row>
    <row r="491">
      <c r="G491" s="71"/>
    </row>
    <row r="492">
      <c r="G492" s="71"/>
    </row>
    <row r="493">
      <c r="G493" s="71"/>
    </row>
    <row r="494">
      <c r="G494" s="71"/>
    </row>
    <row r="495">
      <c r="G495" s="71"/>
    </row>
    <row r="496">
      <c r="G496" s="71"/>
    </row>
    <row r="497">
      <c r="G497" s="71"/>
    </row>
    <row r="498">
      <c r="G498" s="71"/>
    </row>
    <row r="499">
      <c r="G499" s="71"/>
    </row>
    <row r="500">
      <c r="G500" s="71"/>
    </row>
    <row r="501">
      <c r="G501" s="71"/>
    </row>
    <row r="502">
      <c r="G502" s="71"/>
    </row>
    <row r="503">
      <c r="G503" s="71"/>
    </row>
    <row r="504">
      <c r="G504" s="71"/>
    </row>
    <row r="505">
      <c r="G505" s="71"/>
    </row>
    <row r="506">
      <c r="G506" s="71"/>
    </row>
    <row r="507">
      <c r="G507" s="71"/>
    </row>
    <row r="508">
      <c r="G508" s="71"/>
    </row>
    <row r="509">
      <c r="G509" s="71"/>
    </row>
    <row r="510">
      <c r="G510" s="71"/>
    </row>
    <row r="511">
      <c r="G511" s="71"/>
    </row>
    <row r="512">
      <c r="G512" s="71"/>
    </row>
    <row r="513">
      <c r="G513" s="71"/>
    </row>
    <row r="514">
      <c r="G514" s="71"/>
    </row>
    <row r="515">
      <c r="G515" s="71"/>
    </row>
    <row r="516">
      <c r="G516" s="71"/>
    </row>
    <row r="517">
      <c r="G517" s="71"/>
    </row>
    <row r="518">
      <c r="G518" s="71"/>
    </row>
    <row r="519">
      <c r="G519" s="71"/>
    </row>
    <row r="520">
      <c r="G520" s="71"/>
    </row>
    <row r="521">
      <c r="G521" s="71"/>
    </row>
    <row r="522">
      <c r="G522" s="71"/>
    </row>
    <row r="523">
      <c r="G523" s="71"/>
    </row>
    <row r="524">
      <c r="G524" s="71"/>
    </row>
    <row r="525">
      <c r="G525" s="71"/>
    </row>
    <row r="526">
      <c r="G526" s="71"/>
    </row>
    <row r="527">
      <c r="G527" s="71"/>
    </row>
    <row r="528">
      <c r="G528" s="71"/>
    </row>
    <row r="529">
      <c r="G529" s="71"/>
    </row>
    <row r="530">
      <c r="G530" s="71"/>
    </row>
    <row r="531">
      <c r="G531" s="71"/>
    </row>
    <row r="532">
      <c r="G532" s="71"/>
    </row>
    <row r="533">
      <c r="G533" s="71"/>
    </row>
    <row r="534">
      <c r="G534" s="71"/>
    </row>
    <row r="535">
      <c r="G535" s="71"/>
    </row>
    <row r="536">
      <c r="G536" s="71"/>
    </row>
    <row r="537">
      <c r="G537" s="71"/>
    </row>
    <row r="538">
      <c r="G538" s="71"/>
    </row>
    <row r="539">
      <c r="G539" s="71"/>
    </row>
    <row r="540">
      <c r="G540" s="71"/>
    </row>
    <row r="541">
      <c r="G541" s="71"/>
    </row>
    <row r="542">
      <c r="G542" s="71"/>
    </row>
    <row r="543">
      <c r="G543" s="71"/>
    </row>
    <row r="544">
      <c r="G544" s="71"/>
    </row>
    <row r="545">
      <c r="G545" s="71"/>
    </row>
    <row r="546">
      <c r="G546" s="71"/>
    </row>
    <row r="547">
      <c r="G547" s="71"/>
    </row>
    <row r="548">
      <c r="G548" s="71"/>
    </row>
    <row r="549">
      <c r="G549" s="71"/>
    </row>
    <row r="550">
      <c r="G550" s="71"/>
    </row>
    <row r="551">
      <c r="G551" s="71"/>
    </row>
    <row r="552">
      <c r="G552" s="71"/>
    </row>
    <row r="553">
      <c r="G553" s="71"/>
    </row>
    <row r="554">
      <c r="G554" s="71"/>
    </row>
    <row r="555">
      <c r="G555" s="71"/>
    </row>
    <row r="556">
      <c r="G556" s="71"/>
    </row>
    <row r="557">
      <c r="G557" s="71"/>
    </row>
    <row r="558">
      <c r="G558" s="71"/>
    </row>
    <row r="559">
      <c r="G559" s="71"/>
    </row>
    <row r="560">
      <c r="G560" s="71"/>
    </row>
    <row r="561">
      <c r="G561" s="71"/>
    </row>
    <row r="562">
      <c r="G562" s="71"/>
    </row>
    <row r="563">
      <c r="G563" s="71"/>
    </row>
    <row r="564">
      <c r="G564" s="71"/>
    </row>
    <row r="565">
      <c r="G565" s="71"/>
    </row>
    <row r="566">
      <c r="G566" s="71"/>
    </row>
    <row r="567">
      <c r="G567" s="71"/>
    </row>
    <row r="568">
      <c r="G568" s="71"/>
    </row>
    <row r="569">
      <c r="G569" s="71"/>
    </row>
    <row r="570">
      <c r="G570" s="71"/>
    </row>
    <row r="571">
      <c r="G571" s="71"/>
    </row>
    <row r="572">
      <c r="G572" s="71"/>
    </row>
    <row r="573">
      <c r="G573" s="71"/>
    </row>
    <row r="574">
      <c r="G574" s="71"/>
    </row>
    <row r="575">
      <c r="G575" s="71"/>
    </row>
    <row r="576">
      <c r="G576" s="71"/>
    </row>
    <row r="577">
      <c r="G577" s="71"/>
    </row>
    <row r="578">
      <c r="G578" s="71"/>
    </row>
    <row r="579">
      <c r="G579" s="71"/>
    </row>
    <row r="580">
      <c r="G580" s="71"/>
    </row>
    <row r="581">
      <c r="G581" s="71"/>
    </row>
    <row r="582">
      <c r="G582" s="71"/>
    </row>
    <row r="583">
      <c r="G583" s="71"/>
    </row>
    <row r="584">
      <c r="G584" s="71"/>
    </row>
    <row r="585">
      <c r="G585" s="71"/>
    </row>
    <row r="586">
      <c r="G586" s="71"/>
    </row>
    <row r="587">
      <c r="G587" s="71"/>
    </row>
    <row r="588">
      <c r="G588" s="71"/>
    </row>
    <row r="589">
      <c r="G589" s="71"/>
    </row>
    <row r="590">
      <c r="G590" s="71"/>
    </row>
    <row r="591">
      <c r="G591" s="71"/>
    </row>
    <row r="592">
      <c r="G592" s="71"/>
    </row>
    <row r="593">
      <c r="G593" s="71"/>
    </row>
    <row r="594">
      <c r="G594" s="71"/>
    </row>
    <row r="595">
      <c r="G595" s="71"/>
    </row>
    <row r="596">
      <c r="G596" s="71"/>
    </row>
    <row r="597">
      <c r="G597" s="71"/>
    </row>
    <row r="598">
      <c r="G598" s="71"/>
    </row>
    <row r="599">
      <c r="G599" s="71"/>
    </row>
    <row r="600">
      <c r="G600" s="71"/>
    </row>
    <row r="601">
      <c r="G601" s="71"/>
    </row>
    <row r="602">
      <c r="G602" s="71"/>
    </row>
    <row r="603">
      <c r="G603" s="71"/>
    </row>
    <row r="604">
      <c r="G604" s="71"/>
    </row>
    <row r="605">
      <c r="G605" s="71"/>
    </row>
    <row r="606">
      <c r="G606" s="71"/>
    </row>
    <row r="607">
      <c r="G607" s="71"/>
    </row>
    <row r="608">
      <c r="G608" s="71"/>
    </row>
    <row r="609">
      <c r="G609" s="71"/>
    </row>
    <row r="610">
      <c r="G610" s="71"/>
    </row>
    <row r="611">
      <c r="G611" s="71"/>
    </row>
    <row r="612">
      <c r="G612" s="71"/>
    </row>
    <row r="613">
      <c r="G613" s="71"/>
    </row>
    <row r="614">
      <c r="G614" s="71"/>
    </row>
    <row r="615">
      <c r="G615" s="71"/>
    </row>
    <row r="616">
      <c r="G616" s="71"/>
    </row>
    <row r="617">
      <c r="G617" s="71"/>
    </row>
    <row r="618">
      <c r="G618" s="71"/>
    </row>
    <row r="619">
      <c r="G619" s="71"/>
    </row>
    <row r="620">
      <c r="G620" s="71"/>
    </row>
    <row r="621">
      <c r="G621" s="71"/>
    </row>
    <row r="622">
      <c r="G622" s="71"/>
    </row>
    <row r="623">
      <c r="G623" s="71"/>
    </row>
    <row r="624">
      <c r="G624" s="71"/>
    </row>
    <row r="625">
      <c r="G625" s="71"/>
    </row>
    <row r="626">
      <c r="G626" s="71"/>
    </row>
    <row r="627">
      <c r="G627" s="71"/>
    </row>
    <row r="628">
      <c r="G628" s="71"/>
    </row>
    <row r="629">
      <c r="G629" s="71"/>
    </row>
    <row r="630">
      <c r="G630" s="71"/>
    </row>
    <row r="631">
      <c r="G631" s="71"/>
    </row>
    <row r="632">
      <c r="G632" s="71"/>
    </row>
    <row r="633">
      <c r="G633" s="71"/>
    </row>
    <row r="634">
      <c r="G634" s="71"/>
    </row>
    <row r="635">
      <c r="G635" s="71"/>
    </row>
    <row r="636">
      <c r="G636" s="71"/>
    </row>
    <row r="637">
      <c r="G637" s="71"/>
    </row>
    <row r="638">
      <c r="G638" s="71"/>
    </row>
    <row r="639">
      <c r="G639" s="71"/>
    </row>
    <row r="640">
      <c r="G640" s="71"/>
    </row>
    <row r="641">
      <c r="G641" s="71"/>
    </row>
    <row r="642">
      <c r="G642" s="71"/>
    </row>
    <row r="643">
      <c r="G643" s="71"/>
    </row>
    <row r="644">
      <c r="G644" s="71"/>
    </row>
    <row r="645">
      <c r="G645" s="71"/>
    </row>
    <row r="646">
      <c r="G646" s="71"/>
    </row>
    <row r="647">
      <c r="G647" s="71"/>
    </row>
    <row r="648">
      <c r="G648" s="71"/>
    </row>
    <row r="649">
      <c r="G649" s="71"/>
    </row>
    <row r="650">
      <c r="G650" s="71"/>
    </row>
    <row r="651">
      <c r="G651" s="71"/>
    </row>
    <row r="652">
      <c r="G652" s="71"/>
    </row>
    <row r="653">
      <c r="G653" s="71"/>
    </row>
    <row r="654">
      <c r="G654" s="71"/>
    </row>
    <row r="655">
      <c r="G655" s="71"/>
    </row>
    <row r="656">
      <c r="G656" s="71"/>
    </row>
    <row r="657">
      <c r="G657" s="71"/>
    </row>
    <row r="658">
      <c r="G658" s="71"/>
    </row>
    <row r="659">
      <c r="G659" s="71"/>
    </row>
    <row r="660">
      <c r="G660" s="71"/>
    </row>
    <row r="661">
      <c r="G661" s="71"/>
    </row>
    <row r="662">
      <c r="G662" s="71"/>
    </row>
    <row r="663">
      <c r="G663" s="71"/>
    </row>
    <row r="664">
      <c r="G664" s="71"/>
    </row>
    <row r="665">
      <c r="G665" s="71"/>
    </row>
    <row r="666">
      <c r="G666" s="71"/>
    </row>
    <row r="667">
      <c r="G667" s="71"/>
    </row>
    <row r="668">
      <c r="G668" s="71"/>
    </row>
    <row r="669">
      <c r="G669" s="71"/>
    </row>
    <row r="670">
      <c r="G670" s="71"/>
    </row>
    <row r="671">
      <c r="G671" s="71"/>
    </row>
    <row r="672">
      <c r="G672" s="71"/>
    </row>
    <row r="673">
      <c r="G673" s="71"/>
    </row>
    <row r="674">
      <c r="G674" s="71"/>
    </row>
    <row r="675">
      <c r="G675" s="71"/>
    </row>
    <row r="676">
      <c r="G676" s="71"/>
    </row>
    <row r="677">
      <c r="G677" s="71"/>
    </row>
    <row r="678">
      <c r="G678" s="71"/>
    </row>
    <row r="679">
      <c r="G679" s="71"/>
    </row>
    <row r="680">
      <c r="G680" s="71"/>
    </row>
    <row r="681">
      <c r="G681" s="71"/>
    </row>
    <row r="682">
      <c r="G682" s="71"/>
    </row>
    <row r="683">
      <c r="G683" s="71"/>
    </row>
    <row r="684">
      <c r="G684" s="71"/>
    </row>
    <row r="685">
      <c r="G685" s="71"/>
    </row>
    <row r="686">
      <c r="G686" s="71"/>
    </row>
    <row r="687">
      <c r="G687" s="71"/>
    </row>
    <row r="688">
      <c r="G688" s="71"/>
    </row>
    <row r="689">
      <c r="G689" s="71"/>
    </row>
    <row r="690">
      <c r="G690" s="71"/>
    </row>
    <row r="691">
      <c r="G691" s="71"/>
    </row>
    <row r="692">
      <c r="G692" s="71"/>
    </row>
    <row r="693">
      <c r="G693" s="71"/>
    </row>
    <row r="694">
      <c r="G694" s="71"/>
    </row>
    <row r="695">
      <c r="G695" s="71"/>
    </row>
    <row r="696">
      <c r="G696" s="71"/>
    </row>
    <row r="697">
      <c r="G697" s="71"/>
    </row>
    <row r="698">
      <c r="G698" s="71"/>
    </row>
    <row r="699">
      <c r="G699" s="71"/>
    </row>
    <row r="700">
      <c r="G700" s="71"/>
    </row>
    <row r="701">
      <c r="G701" s="71"/>
    </row>
    <row r="702">
      <c r="G702" s="71"/>
    </row>
    <row r="703">
      <c r="G703" s="71"/>
    </row>
    <row r="704">
      <c r="G704" s="71"/>
    </row>
    <row r="705">
      <c r="G705" s="71"/>
    </row>
    <row r="706">
      <c r="G706" s="71"/>
    </row>
    <row r="707">
      <c r="G707" s="71"/>
    </row>
    <row r="708">
      <c r="G708" s="71"/>
    </row>
    <row r="709">
      <c r="G709" s="71"/>
    </row>
    <row r="710">
      <c r="G710" s="71"/>
    </row>
    <row r="711">
      <c r="G711" s="71"/>
    </row>
    <row r="712">
      <c r="G712" s="71"/>
    </row>
    <row r="713">
      <c r="G713" s="71"/>
    </row>
    <row r="714">
      <c r="G714" s="71"/>
    </row>
    <row r="715">
      <c r="G715" s="71"/>
    </row>
    <row r="716">
      <c r="G716" s="71"/>
    </row>
    <row r="717">
      <c r="G717" s="71"/>
    </row>
    <row r="718">
      <c r="G718" s="71"/>
    </row>
    <row r="719">
      <c r="G719" s="71"/>
    </row>
    <row r="720">
      <c r="G720" s="71"/>
    </row>
    <row r="721">
      <c r="G721" s="71"/>
    </row>
    <row r="722">
      <c r="G722" s="71"/>
    </row>
    <row r="723">
      <c r="G723" s="71"/>
    </row>
    <row r="724">
      <c r="G724" s="71"/>
    </row>
    <row r="725">
      <c r="G725" s="71"/>
    </row>
    <row r="726">
      <c r="G726" s="71"/>
    </row>
    <row r="727">
      <c r="G727" s="71"/>
    </row>
    <row r="728">
      <c r="G728" s="71"/>
    </row>
    <row r="729">
      <c r="G729" s="71"/>
    </row>
    <row r="730">
      <c r="G730" s="71"/>
    </row>
    <row r="731">
      <c r="G731" s="71"/>
    </row>
    <row r="732">
      <c r="G732" s="71"/>
    </row>
    <row r="733">
      <c r="G733" s="71"/>
    </row>
    <row r="734">
      <c r="G734" s="71"/>
    </row>
    <row r="735">
      <c r="G735" s="71"/>
    </row>
    <row r="736">
      <c r="G736" s="71"/>
    </row>
    <row r="737">
      <c r="G737" s="71"/>
    </row>
    <row r="738">
      <c r="G738" s="71"/>
    </row>
    <row r="739">
      <c r="G739" s="71"/>
    </row>
    <row r="740">
      <c r="G740" s="71"/>
    </row>
    <row r="741">
      <c r="G741" s="71"/>
    </row>
    <row r="742">
      <c r="G742" s="71"/>
    </row>
    <row r="743">
      <c r="G743" s="71"/>
    </row>
    <row r="744">
      <c r="G744" s="71"/>
    </row>
    <row r="745">
      <c r="G745" s="71"/>
    </row>
    <row r="746">
      <c r="G746" s="71"/>
    </row>
    <row r="747">
      <c r="G747" s="71"/>
    </row>
    <row r="748">
      <c r="G748" s="71"/>
    </row>
    <row r="749">
      <c r="G749" s="71"/>
    </row>
    <row r="750">
      <c r="G750" s="71"/>
    </row>
    <row r="751">
      <c r="G751" s="71"/>
    </row>
    <row r="752">
      <c r="G752" s="71"/>
    </row>
    <row r="753">
      <c r="G753" s="71"/>
    </row>
    <row r="754">
      <c r="G754" s="71"/>
    </row>
    <row r="755">
      <c r="G755" s="71"/>
    </row>
    <row r="756">
      <c r="G756" s="71"/>
    </row>
    <row r="757">
      <c r="G757" s="71"/>
    </row>
    <row r="758">
      <c r="G758" s="71"/>
    </row>
    <row r="759">
      <c r="G759" s="71"/>
    </row>
    <row r="760">
      <c r="G760" s="71"/>
    </row>
    <row r="761">
      <c r="G761" s="71"/>
    </row>
    <row r="762">
      <c r="G762" s="71"/>
    </row>
    <row r="763">
      <c r="G763" s="71"/>
    </row>
    <row r="764">
      <c r="G764" s="71"/>
    </row>
    <row r="765">
      <c r="G765" s="71"/>
    </row>
    <row r="766">
      <c r="G766" s="71"/>
    </row>
    <row r="767">
      <c r="G767" s="71"/>
    </row>
    <row r="768">
      <c r="G768" s="71"/>
    </row>
    <row r="769">
      <c r="G769" s="71"/>
    </row>
    <row r="770">
      <c r="G770" s="71"/>
    </row>
    <row r="771">
      <c r="G771" s="71"/>
    </row>
    <row r="772">
      <c r="G772" s="71"/>
    </row>
    <row r="773">
      <c r="G773" s="71"/>
    </row>
    <row r="774">
      <c r="G774" s="71"/>
    </row>
    <row r="775">
      <c r="G775" s="71"/>
    </row>
    <row r="776">
      <c r="G776" s="71"/>
    </row>
    <row r="777">
      <c r="G777" s="71"/>
    </row>
    <row r="778">
      <c r="G778" s="71"/>
    </row>
    <row r="779">
      <c r="G779" s="71"/>
    </row>
    <row r="780">
      <c r="G780" s="71"/>
    </row>
    <row r="781">
      <c r="G781" s="71"/>
    </row>
    <row r="782">
      <c r="G782" s="71"/>
    </row>
    <row r="783">
      <c r="G783" s="71"/>
    </row>
    <row r="784">
      <c r="G784" s="71"/>
    </row>
    <row r="785">
      <c r="G785" s="71"/>
    </row>
    <row r="786">
      <c r="G786" s="71"/>
    </row>
    <row r="787">
      <c r="G787" s="71"/>
    </row>
    <row r="788">
      <c r="G788" s="71"/>
    </row>
    <row r="789">
      <c r="G789" s="71"/>
    </row>
    <row r="790">
      <c r="G790" s="71"/>
    </row>
    <row r="791">
      <c r="G791" s="71"/>
    </row>
    <row r="792">
      <c r="G792" s="71"/>
    </row>
    <row r="793">
      <c r="G793" s="71"/>
    </row>
    <row r="794">
      <c r="G794" s="71"/>
    </row>
    <row r="795">
      <c r="G795" s="71"/>
    </row>
    <row r="796">
      <c r="G796" s="71"/>
    </row>
    <row r="797">
      <c r="G797" s="71"/>
    </row>
    <row r="798">
      <c r="G798" s="71"/>
    </row>
    <row r="799">
      <c r="G799" s="71"/>
    </row>
    <row r="800">
      <c r="G800" s="71"/>
    </row>
    <row r="801">
      <c r="G801" s="71"/>
    </row>
    <row r="802">
      <c r="G802" s="71"/>
    </row>
    <row r="803">
      <c r="G803" s="71"/>
    </row>
    <row r="804">
      <c r="G804" s="71"/>
    </row>
    <row r="805">
      <c r="G805" s="71"/>
    </row>
    <row r="806">
      <c r="G806" s="71"/>
    </row>
    <row r="807">
      <c r="G807" s="71"/>
    </row>
    <row r="808">
      <c r="G808" s="71"/>
    </row>
    <row r="809">
      <c r="G809" s="71"/>
    </row>
    <row r="810">
      <c r="G810" s="71"/>
    </row>
    <row r="811">
      <c r="G811" s="71"/>
    </row>
    <row r="812">
      <c r="G812" s="71"/>
    </row>
    <row r="813">
      <c r="G813" s="71"/>
    </row>
    <row r="814">
      <c r="G814" s="71"/>
    </row>
    <row r="815">
      <c r="G815" s="71"/>
    </row>
    <row r="816">
      <c r="G816" s="71"/>
    </row>
    <row r="817">
      <c r="G817" s="71"/>
    </row>
    <row r="818">
      <c r="G818" s="71"/>
    </row>
    <row r="819">
      <c r="G819" s="71"/>
    </row>
    <row r="820">
      <c r="G820" s="71"/>
    </row>
    <row r="821">
      <c r="G821" s="71"/>
    </row>
    <row r="822">
      <c r="G822" s="71"/>
    </row>
    <row r="823">
      <c r="G823" s="71"/>
    </row>
    <row r="824">
      <c r="G824" s="71"/>
    </row>
    <row r="825">
      <c r="G825" s="71"/>
    </row>
    <row r="826">
      <c r="G826" s="71"/>
    </row>
    <row r="827">
      <c r="G827" s="71"/>
    </row>
    <row r="828">
      <c r="G828" s="71"/>
    </row>
    <row r="829">
      <c r="G829" s="71"/>
    </row>
    <row r="830">
      <c r="G830" s="71"/>
    </row>
    <row r="831">
      <c r="G831" s="71"/>
    </row>
    <row r="832">
      <c r="G832" s="71"/>
    </row>
    <row r="833">
      <c r="G833" s="71"/>
    </row>
    <row r="834">
      <c r="G834" s="71"/>
    </row>
    <row r="835">
      <c r="G835" s="71"/>
    </row>
    <row r="836">
      <c r="G836" s="71"/>
    </row>
    <row r="837">
      <c r="G837" s="71"/>
    </row>
    <row r="838">
      <c r="G838" s="71"/>
    </row>
    <row r="839">
      <c r="G839" s="71"/>
    </row>
    <row r="840">
      <c r="G840" s="71"/>
    </row>
    <row r="841">
      <c r="G841" s="71"/>
    </row>
    <row r="842">
      <c r="G842" s="71"/>
    </row>
    <row r="843">
      <c r="G843" s="71"/>
    </row>
    <row r="844">
      <c r="G844" s="71"/>
    </row>
    <row r="845">
      <c r="G845" s="71"/>
    </row>
    <row r="846">
      <c r="G846" s="71"/>
    </row>
    <row r="847">
      <c r="G847" s="71"/>
    </row>
    <row r="848">
      <c r="G848" s="71"/>
    </row>
    <row r="849">
      <c r="G849" s="71"/>
    </row>
    <row r="850">
      <c r="G850" s="71"/>
    </row>
    <row r="851">
      <c r="G851" s="71"/>
    </row>
    <row r="852">
      <c r="G852" s="71"/>
    </row>
    <row r="853">
      <c r="G853" s="71"/>
    </row>
    <row r="854">
      <c r="G854" s="71"/>
    </row>
    <row r="855">
      <c r="G855" s="71"/>
    </row>
    <row r="856">
      <c r="G856" s="71"/>
    </row>
    <row r="857">
      <c r="G857" s="71"/>
    </row>
    <row r="858">
      <c r="G858" s="71"/>
    </row>
    <row r="859">
      <c r="G859" s="71"/>
    </row>
    <row r="860">
      <c r="G860" s="71"/>
    </row>
    <row r="861">
      <c r="G861" s="71"/>
    </row>
    <row r="862">
      <c r="G862" s="71"/>
    </row>
    <row r="863">
      <c r="G863" s="71"/>
    </row>
    <row r="864">
      <c r="G864" s="71"/>
    </row>
    <row r="865">
      <c r="G865" s="71"/>
    </row>
    <row r="866">
      <c r="G866" s="71"/>
    </row>
    <row r="867">
      <c r="G867" s="71"/>
    </row>
    <row r="868">
      <c r="G868" s="71"/>
    </row>
    <row r="869">
      <c r="G869" s="71"/>
    </row>
    <row r="870">
      <c r="G870" s="71"/>
    </row>
    <row r="871">
      <c r="G871" s="71"/>
    </row>
    <row r="872">
      <c r="G872" s="71"/>
    </row>
    <row r="873">
      <c r="G873" s="71"/>
    </row>
    <row r="874">
      <c r="G874" s="71"/>
    </row>
    <row r="875">
      <c r="G875" s="71"/>
    </row>
    <row r="876">
      <c r="G876" s="71"/>
    </row>
    <row r="877">
      <c r="G877" s="71"/>
    </row>
    <row r="878">
      <c r="G878" s="71"/>
    </row>
    <row r="879">
      <c r="G879" s="71"/>
    </row>
    <row r="880">
      <c r="G880" s="71"/>
    </row>
    <row r="881">
      <c r="G881" s="71"/>
    </row>
    <row r="882">
      <c r="G882" s="71"/>
    </row>
    <row r="883">
      <c r="G883" s="71"/>
    </row>
    <row r="884">
      <c r="G884" s="71"/>
    </row>
    <row r="885">
      <c r="G885" s="71"/>
    </row>
    <row r="886">
      <c r="G886" s="71"/>
    </row>
    <row r="887">
      <c r="G887" s="71"/>
    </row>
    <row r="888">
      <c r="G888" s="71"/>
    </row>
    <row r="889">
      <c r="G889" s="71"/>
    </row>
    <row r="890">
      <c r="G890" s="71"/>
    </row>
    <row r="891">
      <c r="G891" s="71"/>
    </row>
    <row r="892">
      <c r="G892" s="71"/>
    </row>
    <row r="893">
      <c r="G893" s="71"/>
    </row>
    <row r="894">
      <c r="G894" s="71"/>
    </row>
    <row r="895">
      <c r="G895" s="71"/>
    </row>
    <row r="896">
      <c r="G896" s="71"/>
    </row>
    <row r="897">
      <c r="G897" s="71"/>
    </row>
    <row r="898">
      <c r="G898" s="71"/>
    </row>
    <row r="899">
      <c r="G899" s="71"/>
    </row>
    <row r="900">
      <c r="G900" s="71"/>
    </row>
    <row r="901">
      <c r="G901" s="71"/>
    </row>
    <row r="902">
      <c r="G902" s="71"/>
    </row>
    <row r="903">
      <c r="G903" s="71"/>
    </row>
    <row r="904">
      <c r="G904" s="71"/>
    </row>
    <row r="905">
      <c r="G905" s="71"/>
    </row>
    <row r="906">
      <c r="G906" s="71"/>
    </row>
    <row r="907">
      <c r="G907" s="71"/>
    </row>
    <row r="908">
      <c r="G908" s="71"/>
    </row>
    <row r="909">
      <c r="G909" s="71"/>
    </row>
    <row r="910">
      <c r="G910" s="71"/>
    </row>
    <row r="911">
      <c r="G911" s="71"/>
    </row>
    <row r="912">
      <c r="G912" s="71"/>
    </row>
    <row r="913">
      <c r="G913" s="71"/>
    </row>
    <row r="914">
      <c r="G914" s="71"/>
    </row>
    <row r="915">
      <c r="G915" s="71"/>
    </row>
    <row r="916">
      <c r="G916" s="71"/>
    </row>
    <row r="917">
      <c r="G917" s="71"/>
    </row>
    <row r="918">
      <c r="G918" s="71"/>
    </row>
    <row r="919">
      <c r="G919" s="71"/>
    </row>
    <row r="920">
      <c r="G920" s="71"/>
    </row>
    <row r="921">
      <c r="G921" s="71"/>
    </row>
    <row r="922">
      <c r="G922" s="71"/>
    </row>
    <row r="923">
      <c r="G923" s="71"/>
    </row>
    <row r="924">
      <c r="G924" s="71"/>
    </row>
    <row r="925">
      <c r="G925" s="71"/>
    </row>
    <row r="926">
      <c r="G926" s="71"/>
    </row>
    <row r="927">
      <c r="G927" s="71"/>
    </row>
    <row r="928">
      <c r="G928" s="71"/>
    </row>
    <row r="929">
      <c r="G929" s="71"/>
    </row>
    <row r="930">
      <c r="G930" s="71"/>
    </row>
    <row r="931">
      <c r="G931" s="71"/>
    </row>
    <row r="932">
      <c r="G932" s="71"/>
    </row>
    <row r="933">
      <c r="G933" s="71"/>
    </row>
    <row r="934">
      <c r="G934" s="71"/>
    </row>
    <row r="935">
      <c r="G935" s="71"/>
    </row>
    <row r="936">
      <c r="G936" s="71"/>
    </row>
    <row r="937">
      <c r="G937" s="71"/>
    </row>
    <row r="938">
      <c r="G938" s="71"/>
    </row>
    <row r="939">
      <c r="G939" s="71"/>
    </row>
    <row r="940">
      <c r="G940" s="71"/>
    </row>
    <row r="941">
      <c r="G941" s="71"/>
    </row>
    <row r="942">
      <c r="G942" s="71"/>
    </row>
    <row r="943">
      <c r="G943" s="71"/>
    </row>
    <row r="944">
      <c r="G944" s="71"/>
    </row>
    <row r="945">
      <c r="G945" s="71"/>
    </row>
    <row r="946">
      <c r="G946" s="71"/>
    </row>
    <row r="947">
      <c r="G947" s="71"/>
    </row>
    <row r="948">
      <c r="G948" s="71"/>
    </row>
    <row r="949">
      <c r="G949" s="71"/>
    </row>
    <row r="950">
      <c r="G950" s="71"/>
    </row>
    <row r="951">
      <c r="G951" s="71"/>
    </row>
    <row r="952">
      <c r="G952" s="71"/>
    </row>
    <row r="953">
      <c r="G953" s="71"/>
    </row>
    <row r="954">
      <c r="G954" s="71"/>
    </row>
    <row r="955">
      <c r="G955" s="71"/>
    </row>
    <row r="956">
      <c r="G956" s="71"/>
    </row>
    <row r="957">
      <c r="G957" s="71"/>
    </row>
    <row r="958">
      <c r="G958" s="71"/>
    </row>
    <row r="959">
      <c r="G959" s="71"/>
    </row>
    <row r="960">
      <c r="G960" s="71"/>
    </row>
    <row r="961">
      <c r="G961" s="71"/>
    </row>
    <row r="962">
      <c r="G962" s="71"/>
    </row>
    <row r="963">
      <c r="G963" s="71"/>
    </row>
    <row r="964">
      <c r="G964" s="71"/>
    </row>
    <row r="965">
      <c r="G965" s="71"/>
    </row>
    <row r="966">
      <c r="G966" s="71"/>
    </row>
    <row r="967">
      <c r="G967" s="71"/>
    </row>
    <row r="968">
      <c r="G968" s="71"/>
    </row>
    <row r="969">
      <c r="G969" s="71"/>
    </row>
    <row r="970">
      <c r="G970" s="71"/>
    </row>
    <row r="971">
      <c r="G971" s="71"/>
    </row>
    <row r="972">
      <c r="G972" s="71"/>
    </row>
    <row r="973">
      <c r="G973" s="71"/>
    </row>
    <row r="974">
      <c r="G974" s="71"/>
    </row>
    <row r="975">
      <c r="G975" s="71"/>
    </row>
    <row r="976">
      <c r="G976" s="71"/>
    </row>
    <row r="977">
      <c r="G977" s="71"/>
    </row>
    <row r="978">
      <c r="G978" s="71"/>
    </row>
    <row r="979">
      <c r="G979" s="71"/>
    </row>
    <row r="980">
      <c r="G980" s="71"/>
    </row>
    <row r="981">
      <c r="G981" s="71"/>
    </row>
    <row r="982">
      <c r="G982" s="71"/>
    </row>
    <row r="983">
      <c r="G983" s="71"/>
    </row>
    <row r="984">
      <c r="G984" s="71"/>
    </row>
    <row r="985">
      <c r="G985" s="71"/>
    </row>
    <row r="986">
      <c r="G986" s="71"/>
    </row>
    <row r="987">
      <c r="G987" s="71"/>
    </row>
    <row r="988">
      <c r="G988" s="71"/>
    </row>
    <row r="989">
      <c r="G989" s="71"/>
    </row>
    <row r="990">
      <c r="G990" s="71"/>
    </row>
    <row r="991">
      <c r="G991" s="71"/>
    </row>
    <row r="992">
      <c r="G992" s="71"/>
    </row>
    <row r="993">
      <c r="G993" s="71"/>
    </row>
    <row r="994">
      <c r="G994" s="71"/>
    </row>
    <row r="995">
      <c r="G995" s="71"/>
    </row>
    <row r="996">
      <c r="G996" s="71"/>
    </row>
    <row r="997">
      <c r="G997" s="71"/>
    </row>
    <row r="998">
      <c r="G998" s="71"/>
    </row>
    <row r="999">
      <c r="G999" s="71"/>
    </row>
    <row r="1000">
      <c r="G1000" s="71"/>
    </row>
  </sheetData>
  <mergeCells count="5">
    <mergeCell ref="A2:H2"/>
    <mergeCell ref="A3:A5"/>
    <mergeCell ref="B3:B5"/>
    <mergeCell ref="C3:C5"/>
    <mergeCell ref="D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">
        <v>91</v>
      </c>
    </row>
    <row r="2">
      <c r="A2" s="47" t="s">
        <v>94</v>
      </c>
      <c r="B2" s="48" t="s">
        <v>95</v>
      </c>
      <c r="C2" s="49" t="s">
        <v>96</v>
      </c>
      <c r="D2" s="53" t="s">
        <v>98</v>
      </c>
      <c r="E2" s="51"/>
      <c r="F2" s="51"/>
      <c r="G2" s="51"/>
      <c r="H2" s="52"/>
    </row>
    <row r="3">
      <c r="A3" s="54"/>
      <c r="B3" s="54"/>
      <c r="C3" s="54"/>
      <c r="D3" s="58">
        <v>45778.0</v>
      </c>
      <c r="E3" s="59" t="s">
        <v>103</v>
      </c>
      <c r="F3" s="59" t="s">
        <v>100</v>
      </c>
      <c r="G3" s="60" t="s">
        <v>101</v>
      </c>
      <c r="H3" s="60" t="s">
        <v>102</v>
      </c>
    </row>
    <row r="4">
      <c r="A4" s="61"/>
      <c r="B4" s="61"/>
      <c r="C4" s="61"/>
      <c r="D4" s="64" t="s">
        <v>104</v>
      </c>
      <c r="E4" s="64" t="s">
        <v>104</v>
      </c>
      <c r="F4" s="64" t="s">
        <v>105</v>
      </c>
      <c r="G4" s="65" t="s">
        <v>106</v>
      </c>
      <c r="H4" s="65" t="s">
        <v>108</v>
      </c>
    </row>
    <row r="5">
      <c r="A5" s="66">
        <v>1.0</v>
      </c>
      <c r="B5" s="16" t="s">
        <v>9</v>
      </c>
      <c r="C5" s="67" t="s">
        <v>10</v>
      </c>
      <c r="G5" s="71"/>
      <c r="H5" s="71"/>
    </row>
    <row r="6">
      <c r="A6" s="66">
        <v>2.0</v>
      </c>
      <c r="B6" s="16" t="s">
        <v>9</v>
      </c>
      <c r="C6" s="67" t="s">
        <v>11</v>
      </c>
      <c r="G6" s="71"/>
      <c r="H6" s="71"/>
    </row>
    <row r="7">
      <c r="A7" s="66">
        <v>3.0</v>
      </c>
      <c r="B7" s="16" t="s">
        <v>9</v>
      </c>
      <c r="C7" s="67" t="s">
        <v>17</v>
      </c>
      <c r="G7" s="71"/>
      <c r="H7" s="71"/>
    </row>
    <row r="8">
      <c r="A8" s="66">
        <v>4.0</v>
      </c>
      <c r="B8" s="16" t="s">
        <v>9</v>
      </c>
      <c r="C8" s="72" t="s">
        <v>12</v>
      </c>
      <c r="G8" s="71"/>
      <c r="H8" s="71"/>
    </row>
    <row r="9">
      <c r="A9" s="66">
        <v>5.0</v>
      </c>
      <c r="B9" s="16" t="s">
        <v>9</v>
      </c>
      <c r="C9" s="72" t="s">
        <v>13</v>
      </c>
      <c r="G9" s="71"/>
      <c r="H9" s="71"/>
    </row>
    <row r="10">
      <c r="A10" s="66">
        <v>6.0</v>
      </c>
      <c r="B10" s="16" t="s">
        <v>9</v>
      </c>
      <c r="C10" s="72" t="s">
        <v>14</v>
      </c>
      <c r="G10" s="71"/>
      <c r="H10" s="71"/>
    </row>
    <row r="11">
      <c r="A11" s="66">
        <v>7.0</v>
      </c>
      <c r="B11" s="16" t="s">
        <v>9</v>
      </c>
      <c r="C11" s="72" t="s">
        <v>15</v>
      </c>
      <c r="G11" s="71"/>
      <c r="H11" s="71"/>
    </row>
    <row r="12">
      <c r="A12" s="66">
        <v>8.0</v>
      </c>
      <c r="B12" s="16" t="s">
        <v>9</v>
      </c>
      <c r="C12" s="72" t="s">
        <v>16</v>
      </c>
      <c r="G12" s="71"/>
      <c r="H12" s="71"/>
    </row>
    <row r="13">
      <c r="A13" s="66">
        <v>9.0</v>
      </c>
      <c r="B13" s="16" t="s">
        <v>9</v>
      </c>
      <c r="C13" s="72" t="s">
        <v>109</v>
      </c>
      <c r="G13" s="71"/>
      <c r="H13" s="71"/>
    </row>
    <row r="14">
      <c r="A14" s="74"/>
      <c r="B14" s="16" t="s">
        <v>9</v>
      </c>
      <c r="C14" s="75" t="s">
        <v>120</v>
      </c>
      <c r="D14" s="79">
        <v>98.0</v>
      </c>
      <c r="E14" s="79">
        <v>352.0</v>
      </c>
      <c r="F14" s="80">
        <f>E14-D14</f>
        <v>254</v>
      </c>
      <c r="G14" s="81">
        <f>F14/D14%</f>
        <v>259.1836735</v>
      </c>
      <c r="H14" s="81">
        <f>min(5,max(0,G14*5/100))</f>
        <v>5</v>
      </c>
    </row>
    <row r="15">
      <c r="A15" s="66">
        <v>10.0</v>
      </c>
      <c r="B15" s="16" t="s">
        <v>19</v>
      </c>
      <c r="C15" s="67" t="s">
        <v>21</v>
      </c>
      <c r="F15" s="80"/>
      <c r="G15" s="81"/>
      <c r="H15" s="81"/>
    </row>
    <row r="16">
      <c r="A16" s="66">
        <v>11.0</v>
      </c>
      <c r="B16" s="16" t="s">
        <v>19</v>
      </c>
      <c r="C16" s="67" t="s">
        <v>26</v>
      </c>
      <c r="F16" s="80"/>
      <c r="G16" s="81"/>
      <c r="H16" s="81"/>
    </row>
    <row r="17">
      <c r="A17" s="66">
        <v>12.0</v>
      </c>
      <c r="B17" s="16" t="s">
        <v>19</v>
      </c>
      <c r="C17" s="67" t="s">
        <v>27</v>
      </c>
      <c r="F17" s="80"/>
      <c r="G17" s="81"/>
      <c r="H17" s="81"/>
    </row>
    <row r="18">
      <c r="A18" s="66">
        <v>13.0</v>
      </c>
      <c r="B18" s="16" t="s">
        <v>19</v>
      </c>
      <c r="C18" s="67" t="s">
        <v>29</v>
      </c>
      <c r="F18" s="80"/>
      <c r="G18" s="81"/>
      <c r="H18" s="81"/>
    </row>
    <row r="19">
      <c r="A19" s="66">
        <v>14.0</v>
      </c>
      <c r="B19" s="16" t="s">
        <v>19</v>
      </c>
      <c r="C19" s="72" t="s">
        <v>20</v>
      </c>
      <c r="F19" s="80"/>
      <c r="G19" s="81"/>
      <c r="H19" s="81"/>
    </row>
    <row r="20">
      <c r="A20" s="66">
        <v>15.0</v>
      </c>
      <c r="B20" s="16" t="s">
        <v>19</v>
      </c>
      <c r="C20" s="72" t="s">
        <v>22</v>
      </c>
      <c r="F20" s="80"/>
      <c r="G20" s="81"/>
      <c r="H20" s="81"/>
    </row>
    <row r="21">
      <c r="A21" s="66">
        <v>16.0</v>
      </c>
      <c r="B21" s="16" t="s">
        <v>19</v>
      </c>
      <c r="C21" s="72" t="s">
        <v>23</v>
      </c>
      <c r="F21" s="80"/>
      <c r="G21" s="81"/>
      <c r="H21" s="81"/>
    </row>
    <row r="22">
      <c r="A22" s="66">
        <v>17.0</v>
      </c>
      <c r="B22" s="16" t="s">
        <v>19</v>
      </c>
      <c r="C22" s="72" t="s">
        <v>24</v>
      </c>
      <c r="F22" s="80"/>
      <c r="G22" s="81"/>
      <c r="H22" s="81"/>
    </row>
    <row r="23">
      <c r="A23" s="66">
        <v>18.0</v>
      </c>
      <c r="B23" s="16" t="s">
        <v>19</v>
      </c>
      <c r="C23" s="72" t="s">
        <v>25</v>
      </c>
      <c r="F23" s="80"/>
      <c r="G23" s="81"/>
      <c r="H23" s="81"/>
    </row>
    <row r="24">
      <c r="A24" s="66">
        <v>19.0</v>
      </c>
      <c r="B24" s="16" t="s">
        <v>19</v>
      </c>
      <c r="C24" s="72" t="s">
        <v>28</v>
      </c>
      <c r="F24" s="80"/>
      <c r="G24" s="81"/>
      <c r="H24" s="81"/>
    </row>
    <row r="25">
      <c r="A25" s="66">
        <v>20.0</v>
      </c>
      <c r="B25" s="16" t="s">
        <v>19</v>
      </c>
      <c r="C25" s="72" t="s">
        <v>111</v>
      </c>
      <c r="F25" s="80"/>
      <c r="G25" s="81"/>
      <c r="H25" s="81"/>
    </row>
    <row r="26">
      <c r="A26" s="66">
        <v>21.0</v>
      </c>
      <c r="B26" s="16" t="s">
        <v>19</v>
      </c>
      <c r="C26" s="72" t="s">
        <v>30</v>
      </c>
      <c r="F26" s="80"/>
      <c r="G26" s="81"/>
      <c r="H26" s="81"/>
    </row>
    <row r="27">
      <c r="A27" s="74"/>
      <c r="B27" s="16" t="s">
        <v>19</v>
      </c>
      <c r="C27" s="75" t="s">
        <v>137</v>
      </c>
      <c r="D27" s="79">
        <v>203.0</v>
      </c>
      <c r="E27" s="79">
        <v>424.0</v>
      </c>
      <c r="F27" s="80">
        <f>E27-D27</f>
        <v>221</v>
      </c>
      <c r="G27" s="81">
        <f>F27/D27%</f>
        <v>108.8669951</v>
      </c>
      <c r="H27" s="81">
        <f>min(5,max(0,G27*5/100))</f>
        <v>5</v>
      </c>
    </row>
    <row r="28">
      <c r="A28" s="66">
        <v>22.0</v>
      </c>
      <c r="B28" s="16" t="s">
        <v>32</v>
      </c>
      <c r="C28" s="67" t="s">
        <v>34</v>
      </c>
      <c r="F28" s="80"/>
      <c r="G28" s="81"/>
      <c r="H28" s="81"/>
    </row>
    <row r="29">
      <c r="A29" s="66">
        <v>23.0</v>
      </c>
      <c r="B29" s="16" t="s">
        <v>32</v>
      </c>
      <c r="C29" s="67" t="s">
        <v>33</v>
      </c>
      <c r="F29" s="80"/>
      <c r="G29" s="81"/>
      <c r="H29" s="81"/>
    </row>
    <row r="30">
      <c r="A30" s="66">
        <v>24.0</v>
      </c>
      <c r="B30" s="16" t="s">
        <v>32</v>
      </c>
      <c r="C30" s="72" t="s">
        <v>112</v>
      </c>
      <c r="F30" s="80"/>
      <c r="G30" s="81"/>
      <c r="H30" s="81"/>
    </row>
    <row r="31">
      <c r="A31" s="82"/>
      <c r="B31" s="16" t="s">
        <v>32</v>
      </c>
      <c r="C31" s="83" t="s">
        <v>121</v>
      </c>
      <c r="D31" s="87">
        <v>1236.0</v>
      </c>
      <c r="E31" s="87">
        <v>772.0</v>
      </c>
      <c r="F31" s="80">
        <f>E31-D31</f>
        <v>-464</v>
      </c>
      <c r="G31" s="81">
        <f>F31/D31%</f>
        <v>-37.54045307</v>
      </c>
      <c r="H31" s="81">
        <f>min(5,max(0,G31*5/100))</f>
        <v>0</v>
      </c>
    </row>
    <row r="32">
      <c r="A32" s="66">
        <v>25.0</v>
      </c>
      <c r="B32" s="16" t="s">
        <v>36</v>
      </c>
      <c r="C32" s="67" t="s">
        <v>42</v>
      </c>
      <c r="F32" s="80"/>
      <c r="G32" s="81"/>
      <c r="H32" s="81"/>
    </row>
    <row r="33">
      <c r="A33" s="66">
        <v>26.0</v>
      </c>
      <c r="B33" s="16" t="s">
        <v>36</v>
      </c>
      <c r="C33" s="72" t="s">
        <v>37</v>
      </c>
      <c r="F33" s="80"/>
      <c r="G33" s="81"/>
      <c r="H33" s="81"/>
    </row>
    <row r="34">
      <c r="A34" s="66">
        <v>27.0</v>
      </c>
      <c r="B34" s="16" t="s">
        <v>36</v>
      </c>
      <c r="C34" s="72" t="s">
        <v>38</v>
      </c>
      <c r="F34" s="80"/>
      <c r="G34" s="81"/>
      <c r="H34" s="81"/>
    </row>
    <row r="35">
      <c r="A35" s="66">
        <v>28.0</v>
      </c>
      <c r="B35" s="16" t="s">
        <v>36</v>
      </c>
      <c r="C35" s="72" t="s">
        <v>39</v>
      </c>
      <c r="F35" s="80"/>
      <c r="G35" s="81"/>
      <c r="H35" s="81"/>
    </row>
    <row r="36">
      <c r="A36" s="66">
        <v>29.0</v>
      </c>
      <c r="B36" s="16" t="s">
        <v>36</v>
      </c>
      <c r="C36" s="72" t="s">
        <v>40</v>
      </c>
      <c r="F36" s="80"/>
      <c r="G36" s="81"/>
      <c r="H36" s="81"/>
    </row>
    <row r="37">
      <c r="A37" s="66">
        <v>30.0</v>
      </c>
      <c r="B37" s="16" t="s">
        <v>36</v>
      </c>
      <c r="C37" s="72" t="s">
        <v>41</v>
      </c>
      <c r="F37" s="80"/>
      <c r="G37" s="81"/>
      <c r="H37" s="81"/>
    </row>
    <row r="38">
      <c r="A38" s="66">
        <v>31.0</v>
      </c>
      <c r="B38" s="16" t="s">
        <v>36</v>
      </c>
      <c r="C38" s="72" t="s">
        <v>113</v>
      </c>
      <c r="F38" s="80"/>
      <c r="G38" s="81"/>
      <c r="H38" s="81"/>
    </row>
    <row r="39">
      <c r="A39" s="89"/>
      <c r="B39" s="16" t="s">
        <v>36</v>
      </c>
      <c r="C39" s="90" t="s">
        <v>138</v>
      </c>
      <c r="D39" s="91">
        <v>44.0</v>
      </c>
      <c r="E39" s="91">
        <v>3.0</v>
      </c>
      <c r="F39" s="80">
        <f>E39-D39</f>
        <v>-41</v>
      </c>
      <c r="G39" s="81">
        <f>F39/D39%</f>
        <v>-93.18181818</v>
      </c>
      <c r="H39" s="81">
        <f>min(5,max(0,G39*5/100))</f>
        <v>0</v>
      </c>
    </row>
    <row r="40">
      <c r="A40" s="66">
        <v>32.0</v>
      </c>
      <c r="B40" s="16" t="s">
        <v>44</v>
      </c>
      <c r="C40" s="67" t="s">
        <v>46</v>
      </c>
      <c r="F40" s="80"/>
      <c r="G40" s="81"/>
      <c r="H40" s="81"/>
    </row>
    <row r="41">
      <c r="A41" s="66">
        <v>33.0</v>
      </c>
      <c r="B41" s="16" t="s">
        <v>44</v>
      </c>
      <c r="C41" s="67" t="s">
        <v>48</v>
      </c>
      <c r="F41" s="80"/>
      <c r="G41" s="81"/>
      <c r="H41" s="81"/>
    </row>
    <row r="42">
      <c r="A42" s="66">
        <v>34.0</v>
      </c>
      <c r="B42" s="16" t="s">
        <v>44</v>
      </c>
      <c r="C42" s="67" t="s">
        <v>49</v>
      </c>
      <c r="F42" s="80"/>
      <c r="G42" s="81"/>
      <c r="H42" s="81"/>
    </row>
    <row r="43">
      <c r="A43" s="66">
        <v>35.0</v>
      </c>
      <c r="B43" s="16" t="s">
        <v>44</v>
      </c>
      <c r="C43" s="72" t="s">
        <v>45</v>
      </c>
      <c r="F43" s="80"/>
      <c r="G43" s="81"/>
      <c r="H43" s="81"/>
    </row>
    <row r="44">
      <c r="A44" s="66">
        <v>36.0</v>
      </c>
      <c r="B44" s="16" t="s">
        <v>44</v>
      </c>
      <c r="C44" s="72" t="s">
        <v>47</v>
      </c>
      <c r="F44" s="80"/>
      <c r="G44" s="81"/>
      <c r="H44" s="81"/>
    </row>
    <row r="45">
      <c r="A45" s="66">
        <v>37.0</v>
      </c>
      <c r="B45" s="16" t="s">
        <v>44</v>
      </c>
      <c r="C45" s="72" t="s">
        <v>50</v>
      </c>
      <c r="F45" s="80"/>
      <c r="G45" s="81"/>
      <c r="H45" s="81"/>
    </row>
    <row r="46">
      <c r="A46" s="66">
        <v>38.0</v>
      </c>
      <c r="B46" s="16" t="s">
        <v>44</v>
      </c>
      <c r="C46" s="72" t="s">
        <v>114</v>
      </c>
      <c r="F46" s="80"/>
      <c r="G46" s="81"/>
      <c r="H46" s="81"/>
    </row>
    <row r="47">
      <c r="A47" s="74"/>
      <c r="B47" s="16" t="s">
        <v>44</v>
      </c>
      <c r="C47" s="90" t="s">
        <v>139</v>
      </c>
      <c r="D47" s="79">
        <v>424.0</v>
      </c>
      <c r="E47" s="79">
        <v>468.0</v>
      </c>
      <c r="F47" s="80">
        <f>E47-D47</f>
        <v>44</v>
      </c>
      <c r="G47" s="81">
        <f>F47/D47%</f>
        <v>10.37735849</v>
      </c>
      <c r="H47" s="81">
        <f>min(5,max(0,G47*5/100))</f>
        <v>0.5188679245</v>
      </c>
    </row>
    <row r="48">
      <c r="A48" s="66">
        <v>39.0</v>
      </c>
      <c r="B48" s="16" t="s">
        <v>52</v>
      </c>
      <c r="C48" s="67" t="s">
        <v>53</v>
      </c>
      <c r="F48" s="80"/>
      <c r="G48" s="81"/>
      <c r="H48" s="81"/>
    </row>
    <row r="49">
      <c r="A49" s="66">
        <v>40.0</v>
      </c>
      <c r="B49" s="16" t="s">
        <v>52</v>
      </c>
      <c r="C49" s="67" t="s">
        <v>55</v>
      </c>
      <c r="F49" s="80"/>
      <c r="G49" s="81"/>
      <c r="H49" s="81"/>
    </row>
    <row r="50">
      <c r="A50" s="66">
        <v>41.0</v>
      </c>
      <c r="B50" s="16" t="s">
        <v>52</v>
      </c>
      <c r="C50" s="67" t="s">
        <v>56</v>
      </c>
      <c r="F50" s="80"/>
      <c r="G50" s="81"/>
      <c r="H50" s="81"/>
    </row>
    <row r="51">
      <c r="A51" s="66">
        <v>42.0</v>
      </c>
      <c r="B51" s="16" t="s">
        <v>52</v>
      </c>
      <c r="C51" s="67" t="s">
        <v>58</v>
      </c>
      <c r="F51" s="80"/>
      <c r="G51" s="81"/>
      <c r="H51" s="81"/>
    </row>
    <row r="52">
      <c r="A52" s="66">
        <v>43.0</v>
      </c>
      <c r="B52" s="16" t="s">
        <v>52</v>
      </c>
      <c r="C52" s="72" t="s">
        <v>54</v>
      </c>
      <c r="F52" s="80"/>
      <c r="G52" s="81"/>
      <c r="H52" s="81"/>
    </row>
    <row r="53">
      <c r="A53" s="66">
        <v>44.0</v>
      </c>
      <c r="B53" s="16" t="s">
        <v>52</v>
      </c>
      <c r="C53" s="72" t="s">
        <v>57</v>
      </c>
      <c r="F53" s="80"/>
      <c r="G53" s="81"/>
      <c r="H53" s="81"/>
    </row>
    <row r="54">
      <c r="A54" s="66">
        <v>45.0</v>
      </c>
      <c r="B54" s="16" t="s">
        <v>52</v>
      </c>
      <c r="C54" s="72" t="s">
        <v>115</v>
      </c>
      <c r="F54" s="80"/>
      <c r="G54" s="81"/>
      <c r="H54" s="81"/>
    </row>
    <row r="55">
      <c r="A55" s="74"/>
      <c r="B55" s="16" t="s">
        <v>52</v>
      </c>
      <c r="C55" s="90" t="s">
        <v>140</v>
      </c>
      <c r="D55" s="79">
        <v>1289.0</v>
      </c>
      <c r="E55" s="79">
        <v>2817.0</v>
      </c>
      <c r="F55" s="80">
        <f>E55-D55</f>
        <v>1528</v>
      </c>
      <c r="G55" s="81">
        <f>F55/D55%</f>
        <v>118.541505</v>
      </c>
      <c r="H55" s="81">
        <f>min(5,max(0,G55*5/100))</f>
        <v>5</v>
      </c>
    </row>
    <row r="56">
      <c r="A56" s="66">
        <v>46.0</v>
      </c>
      <c r="B56" s="16" t="s">
        <v>60</v>
      </c>
      <c r="C56" s="67" t="s">
        <v>61</v>
      </c>
      <c r="F56" s="80"/>
      <c r="G56" s="81"/>
      <c r="H56" s="81"/>
    </row>
    <row r="57">
      <c r="A57" s="66">
        <v>47.0</v>
      </c>
      <c r="B57" s="16" t="s">
        <v>60</v>
      </c>
      <c r="C57" s="67" t="s">
        <v>63</v>
      </c>
      <c r="F57" s="80"/>
      <c r="G57" s="81"/>
      <c r="H57" s="81"/>
    </row>
    <row r="58">
      <c r="A58" s="66">
        <v>48.0</v>
      </c>
      <c r="B58" s="16" t="s">
        <v>60</v>
      </c>
      <c r="C58" s="72" t="s">
        <v>62</v>
      </c>
      <c r="F58" s="80"/>
      <c r="G58" s="81"/>
      <c r="H58" s="81"/>
    </row>
    <row r="59">
      <c r="A59" s="66">
        <v>49.0</v>
      </c>
      <c r="B59" s="16" t="s">
        <v>60</v>
      </c>
      <c r="C59" s="72" t="s">
        <v>116</v>
      </c>
      <c r="F59" s="80"/>
      <c r="G59" s="81"/>
      <c r="H59" s="81"/>
    </row>
    <row r="60">
      <c r="A60" s="66">
        <v>50.0</v>
      </c>
      <c r="B60" s="16" t="s">
        <v>60</v>
      </c>
      <c r="C60" s="72" t="s">
        <v>64</v>
      </c>
      <c r="F60" s="80"/>
      <c r="G60" s="81"/>
      <c r="H60" s="81"/>
    </row>
    <row r="61">
      <c r="A61" s="74"/>
      <c r="B61" s="16" t="s">
        <v>60</v>
      </c>
      <c r="C61" s="90" t="s">
        <v>141</v>
      </c>
      <c r="D61" s="79">
        <v>47.0</v>
      </c>
      <c r="E61" s="79">
        <v>49.0</v>
      </c>
      <c r="F61" s="80">
        <f>E61-D61</f>
        <v>2</v>
      </c>
      <c r="G61" s="81">
        <f>F61/D61%</f>
        <v>4.255319149</v>
      </c>
      <c r="H61" s="81">
        <f>min(5,max(0,G61*5/100))</f>
        <v>0.2127659574</v>
      </c>
    </row>
    <row r="62">
      <c r="A62" s="66">
        <v>51.0</v>
      </c>
      <c r="B62" s="16" t="s">
        <v>66</v>
      </c>
      <c r="C62" s="67" t="s">
        <v>70</v>
      </c>
      <c r="F62" s="80"/>
      <c r="G62" s="81"/>
      <c r="H62" s="81"/>
    </row>
    <row r="63">
      <c r="A63" s="66">
        <v>52.0</v>
      </c>
      <c r="B63" s="16" t="s">
        <v>66</v>
      </c>
      <c r="C63" s="67" t="s">
        <v>71</v>
      </c>
      <c r="F63" s="80"/>
      <c r="G63" s="81"/>
      <c r="H63" s="81"/>
    </row>
    <row r="64">
      <c r="A64" s="66">
        <v>53.0</v>
      </c>
      <c r="B64" s="16" t="s">
        <v>66</v>
      </c>
      <c r="C64" s="72" t="s">
        <v>67</v>
      </c>
      <c r="F64" s="80"/>
      <c r="G64" s="81"/>
      <c r="H64" s="81"/>
    </row>
    <row r="65">
      <c r="A65" s="66">
        <v>54.0</v>
      </c>
      <c r="B65" s="16" t="s">
        <v>66</v>
      </c>
      <c r="C65" s="72" t="s">
        <v>68</v>
      </c>
      <c r="F65" s="80"/>
      <c r="G65" s="81"/>
      <c r="H65" s="81"/>
    </row>
    <row r="66">
      <c r="A66" s="66">
        <v>55.0</v>
      </c>
      <c r="B66" s="16" t="s">
        <v>66</v>
      </c>
      <c r="C66" s="72" t="s">
        <v>69</v>
      </c>
      <c r="F66" s="80"/>
      <c r="G66" s="81"/>
      <c r="H66" s="81"/>
    </row>
    <row r="67">
      <c r="A67" s="74"/>
      <c r="B67" s="16" t="s">
        <v>66</v>
      </c>
      <c r="C67" s="90" t="s">
        <v>142</v>
      </c>
      <c r="D67" s="79">
        <v>19.0</v>
      </c>
      <c r="E67" s="79">
        <v>271.0</v>
      </c>
      <c r="F67" s="80">
        <f t="shared" ref="F67:F68" si="1">E67-D67</f>
        <v>252</v>
      </c>
      <c r="G67" s="81">
        <f t="shared" ref="G67:G68" si="2">F67/D67%</f>
        <v>1326.315789</v>
      </c>
      <c r="H67" s="81">
        <f t="shared" ref="H67:H68" si="3">min(5,max(0,G67*5/100))</f>
        <v>5</v>
      </c>
    </row>
    <row r="68">
      <c r="A68" s="94">
        <v>56.0</v>
      </c>
      <c r="B68" s="95" t="s">
        <v>73</v>
      </c>
      <c r="C68" s="96" t="s">
        <v>117</v>
      </c>
      <c r="D68" s="80">
        <v>3360.0</v>
      </c>
      <c r="E68" s="80">
        <f>sum(E14:E67)</f>
        <v>5156</v>
      </c>
      <c r="F68" s="80">
        <f t="shared" si="1"/>
        <v>1796</v>
      </c>
      <c r="G68" s="81">
        <f t="shared" si="2"/>
        <v>53.45238095</v>
      </c>
      <c r="H68" s="81">
        <f t="shared" si="3"/>
        <v>2.672619048</v>
      </c>
    </row>
    <row r="69">
      <c r="B69" s="97"/>
      <c r="C69" s="43"/>
      <c r="G69" s="71"/>
      <c r="H69" s="71"/>
    </row>
    <row r="70">
      <c r="B70" s="97"/>
      <c r="C70" s="43"/>
      <c r="G70" s="71"/>
      <c r="H70" s="71"/>
    </row>
    <row r="71">
      <c r="B71" s="97"/>
      <c r="C71" s="43"/>
      <c r="G71" s="71"/>
      <c r="H71" s="71"/>
    </row>
    <row r="72">
      <c r="B72" s="97"/>
      <c r="C72" s="43"/>
      <c r="G72" s="71"/>
      <c r="H72" s="71"/>
    </row>
    <row r="73">
      <c r="B73" s="97"/>
      <c r="C73" s="43"/>
      <c r="G73" s="71"/>
      <c r="H73" s="71"/>
    </row>
    <row r="74">
      <c r="B74" s="97"/>
      <c r="C74" s="43"/>
      <c r="G74" s="71"/>
      <c r="H74" s="71"/>
    </row>
    <row r="75">
      <c r="B75" s="97"/>
      <c r="C75" s="43"/>
      <c r="G75" s="71"/>
      <c r="H75" s="71"/>
    </row>
    <row r="76">
      <c r="B76" s="97"/>
      <c r="C76" s="43"/>
      <c r="G76" s="71"/>
      <c r="H76" s="71"/>
    </row>
    <row r="77">
      <c r="B77" s="97"/>
      <c r="C77" s="43"/>
      <c r="G77" s="71"/>
      <c r="H77" s="71"/>
    </row>
    <row r="78">
      <c r="B78" s="97"/>
      <c r="C78" s="43"/>
      <c r="G78" s="71"/>
      <c r="H78" s="71"/>
    </row>
    <row r="79">
      <c r="B79" s="97"/>
      <c r="C79" s="43"/>
      <c r="G79" s="71"/>
      <c r="H79" s="71"/>
    </row>
    <row r="80">
      <c r="B80" s="97"/>
      <c r="C80" s="43"/>
      <c r="G80" s="71"/>
      <c r="H80" s="71"/>
    </row>
    <row r="81">
      <c r="B81" s="97"/>
      <c r="C81" s="43"/>
      <c r="G81" s="71"/>
      <c r="H81" s="71"/>
    </row>
    <row r="82">
      <c r="B82" s="97"/>
      <c r="C82" s="43"/>
      <c r="G82" s="71"/>
      <c r="H82" s="71"/>
    </row>
    <row r="83">
      <c r="B83" s="97"/>
      <c r="C83" s="43"/>
      <c r="G83" s="71"/>
      <c r="H83" s="71"/>
    </row>
    <row r="84">
      <c r="B84" s="97"/>
      <c r="C84" s="43"/>
      <c r="G84" s="71"/>
      <c r="H84" s="71"/>
    </row>
    <row r="85">
      <c r="B85" s="97"/>
      <c r="C85" s="43"/>
      <c r="G85" s="71"/>
      <c r="H85" s="71"/>
    </row>
    <row r="86">
      <c r="B86" s="97"/>
      <c r="C86" s="43"/>
      <c r="G86" s="71"/>
      <c r="H86" s="71"/>
    </row>
    <row r="87">
      <c r="B87" s="97"/>
      <c r="C87" s="43"/>
      <c r="G87" s="71"/>
      <c r="H87" s="71"/>
    </row>
    <row r="88">
      <c r="B88" s="97"/>
      <c r="C88" s="43"/>
      <c r="G88" s="71"/>
      <c r="H88" s="71"/>
    </row>
    <row r="89">
      <c r="B89" s="97"/>
      <c r="C89" s="43"/>
      <c r="G89" s="71"/>
      <c r="H89" s="71"/>
    </row>
    <row r="90">
      <c r="B90" s="97"/>
      <c r="C90" s="43"/>
      <c r="G90" s="71"/>
      <c r="H90" s="71"/>
    </row>
    <row r="91">
      <c r="B91" s="97"/>
      <c r="C91" s="43"/>
      <c r="G91" s="71"/>
      <c r="H91" s="71"/>
    </row>
    <row r="92">
      <c r="B92" s="97"/>
      <c r="C92" s="43"/>
      <c r="G92" s="71"/>
      <c r="H92" s="71"/>
    </row>
    <row r="93">
      <c r="B93" s="97"/>
      <c r="C93" s="43"/>
      <c r="G93" s="71"/>
      <c r="H93" s="71"/>
    </row>
    <row r="94">
      <c r="B94" s="97"/>
      <c r="C94" s="43"/>
      <c r="G94" s="71"/>
      <c r="H94" s="71"/>
    </row>
    <row r="95">
      <c r="B95" s="97"/>
      <c r="C95" s="43"/>
      <c r="G95" s="71"/>
      <c r="H95" s="71"/>
    </row>
    <row r="96">
      <c r="B96" s="97"/>
      <c r="C96" s="43"/>
      <c r="G96" s="71"/>
      <c r="H96" s="71"/>
    </row>
    <row r="97">
      <c r="B97" s="97"/>
      <c r="C97" s="43"/>
      <c r="G97" s="71"/>
      <c r="H97" s="71"/>
    </row>
    <row r="98">
      <c r="B98" s="97"/>
      <c r="C98" s="43"/>
      <c r="G98" s="71"/>
      <c r="H98" s="71"/>
    </row>
    <row r="99">
      <c r="B99" s="97"/>
      <c r="C99" s="43"/>
      <c r="G99" s="71"/>
      <c r="H99" s="71"/>
    </row>
    <row r="100">
      <c r="B100" s="97"/>
      <c r="C100" s="43"/>
      <c r="G100" s="71"/>
      <c r="H100" s="71"/>
    </row>
    <row r="101">
      <c r="B101" s="97"/>
      <c r="C101" s="43"/>
      <c r="G101" s="71"/>
      <c r="H101" s="71"/>
    </row>
    <row r="102">
      <c r="B102" s="97"/>
      <c r="C102" s="43"/>
      <c r="G102" s="71"/>
      <c r="H102" s="71"/>
    </row>
    <row r="103">
      <c r="B103" s="97"/>
      <c r="C103" s="43"/>
      <c r="G103" s="71"/>
      <c r="H103" s="71"/>
    </row>
    <row r="104">
      <c r="B104" s="97"/>
      <c r="C104" s="43"/>
      <c r="G104" s="71"/>
      <c r="H104" s="71"/>
    </row>
    <row r="105">
      <c r="B105" s="97"/>
      <c r="C105" s="43"/>
      <c r="G105" s="71"/>
      <c r="H105" s="71"/>
    </row>
    <row r="106">
      <c r="B106" s="97"/>
      <c r="C106" s="43"/>
      <c r="G106" s="71"/>
      <c r="H106" s="71"/>
    </row>
    <row r="107">
      <c r="B107" s="97"/>
      <c r="C107" s="43"/>
      <c r="G107" s="71"/>
      <c r="H107" s="71"/>
    </row>
    <row r="108">
      <c r="B108" s="97"/>
      <c r="C108" s="43"/>
      <c r="G108" s="71"/>
      <c r="H108" s="71"/>
    </row>
    <row r="109">
      <c r="B109" s="97"/>
      <c r="C109" s="43"/>
      <c r="G109" s="71"/>
      <c r="H109" s="71"/>
    </row>
    <row r="110">
      <c r="B110" s="97"/>
      <c r="C110" s="43"/>
      <c r="G110" s="71"/>
      <c r="H110" s="71"/>
    </row>
    <row r="111">
      <c r="B111" s="97"/>
      <c r="C111" s="43"/>
      <c r="G111" s="71"/>
      <c r="H111" s="71"/>
    </row>
    <row r="112">
      <c r="B112" s="97"/>
      <c r="C112" s="43"/>
      <c r="G112" s="71"/>
      <c r="H112" s="71"/>
    </row>
    <row r="113">
      <c r="B113" s="97"/>
      <c r="C113" s="43"/>
      <c r="G113" s="71"/>
      <c r="H113" s="71"/>
    </row>
    <row r="114">
      <c r="B114" s="97"/>
      <c r="C114" s="43"/>
      <c r="G114" s="71"/>
      <c r="H114" s="71"/>
    </row>
    <row r="115">
      <c r="B115" s="97"/>
      <c r="C115" s="43"/>
      <c r="G115" s="71"/>
      <c r="H115" s="71"/>
    </row>
    <row r="116">
      <c r="B116" s="97"/>
      <c r="C116" s="43"/>
      <c r="G116" s="71"/>
      <c r="H116" s="71"/>
    </row>
    <row r="117">
      <c r="B117" s="97"/>
      <c r="C117" s="43"/>
      <c r="G117" s="71"/>
      <c r="H117" s="71"/>
    </row>
    <row r="118">
      <c r="B118" s="97"/>
      <c r="C118" s="43"/>
      <c r="G118" s="71"/>
      <c r="H118" s="71"/>
    </row>
    <row r="119">
      <c r="B119" s="97"/>
      <c r="C119" s="43"/>
      <c r="G119" s="71"/>
      <c r="H119" s="71"/>
    </row>
    <row r="120">
      <c r="B120" s="97"/>
      <c r="C120" s="43"/>
      <c r="G120" s="71"/>
      <c r="H120" s="71"/>
    </row>
    <row r="121">
      <c r="B121" s="97"/>
      <c r="C121" s="43"/>
      <c r="G121" s="71"/>
      <c r="H121" s="71"/>
    </row>
    <row r="122">
      <c r="B122" s="97"/>
      <c r="C122" s="43"/>
      <c r="G122" s="71"/>
      <c r="H122" s="71"/>
    </row>
    <row r="123">
      <c r="B123" s="97"/>
      <c r="C123" s="43"/>
      <c r="G123" s="71"/>
      <c r="H123" s="71"/>
    </row>
    <row r="124">
      <c r="B124" s="97"/>
      <c r="C124" s="43"/>
      <c r="G124" s="71"/>
      <c r="H124" s="71"/>
    </row>
    <row r="125">
      <c r="B125" s="97"/>
      <c r="C125" s="43"/>
      <c r="G125" s="71"/>
      <c r="H125" s="71"/>
    </row>
    <row r="126">
      <c r="B126" s="97"/>
      <c r="C126" s="43"/>
      <c r="G126" s="71"/>
      <c r="H126" s="71"/>
    </row>
    <row r="127">
      <c r="B127" s="97"/>
      <c r="C127" s="43"/>
      <c r="G127" s="71"/>
      <c r="H127" s="71"/>
    </row>
    <row r="128">
      <c r="B128" s="97"/>
      <c r="C128" s="43"/>
      <c r="G128" s="71"/>
      <c r="H128" s="71"/>
    </row>
    <row r="129">
      <c r="B129" s="97"/>
      <c r="C129" s="43"/>
      <c r="G129" s="71"/>
      <c r="H129" s="71"/>
    </row>
    <row r="130">
      <c r="B130" s="97"/>
      <c r="C130" s="43"/>
      <c r="G130" s="71"/>
      <c r="H130" s="71"/>
    </row>
    <row r="131">
      <c r="B131" s="97"/>
      <c r="C131" s="43"/>
      <c r="G131" s="71"/>
      <c r="H131" s="71"/>
    </row>
    <row r="132">
      <c r="B132" s="97"/>
      <c r="C132" s="43"/>
      <c r="G132" s="71"/>
      <c r="H132" s="71"/>
    </row>
    <row r="133">
      <c r="B133" s="97"/>
      <c r="C133" s="43"/>
      <c r="G133" s="71"/>
      <c r="H133" s="71"/>
    </row>
    <row r="134">
      <c r="B134" s="97"/>
      <c r="C134" s="43"/>
      <c r="G134" s="71"/>
      <c r="H134" s="71"/>
    </row>
    <row r="135">
      <c r="B135" s="97"/>
      <c r="C135" s="43"/>
      <c r="G135" s="71"/>
      <c r="H135" s="71"/>
    </row>
    <row r="136">
      <c r="B136" s="97"/>
      <c r="C136" s="43"/>
      <c r="G136" s="71"/>
      <c r="H136" s="71"/>
    </row>
    <row r="137">
      <c r="B137" s="97"/>
      <c r="C137" s="43"/>
      <c r="G137" s="71"/>
      <c r="H137" s="71"/>
    </row>
    <row r="138">
      <c r="B138" s="97"/>
      <c r="C138" s="43"/>
      <c r="G138" s="71"/>
      <c r="H138" s="71"/>
    </row>
    <row r="139">
      <c r="B139" s="97"/>
      <c r="C139" s="43"/>
      <c r="G139" s="71"/>
      <c r="H139" s="71"/>
    </row>
    <row r="140">
      <c r="B140" s="97"/>
      <c r="C140" s="43"/>
      <c r="G140" s="71"/>
      <c r="H140" s="71"/>
    </row>
    <row r="141">
      <c r="B141" s="97"/>
      <c r="C141" s="43"/>
      <c r="G141" s="71"/>
      <c r="H141" s="71"/>
    </row>
    <row r="142">
      <c r="B142" s="97"/>
      <c r="C142" s="43"/>
      <c r="G142" s="71"/>
      <c r="H142" s="71"/>
    </row>
    <row r="143">
      <c r="B143" s="97"/>
      <c r="C143" s="43"/>
      <c r="G143" s="71"/>
      <c r="H143" s="71"/>
    </row>
    <row r="144">
      <c r="B144" s="97"/>
      <c r="C144" s="43"/>
      <c r="G144" s="71"/>
      <c r="H144" s="71"/>
    </row>
    <row r="145">
      <c r="B145" s="97"/>
      <c r="C145" s="43"/>
      <c r="G145" s="71"/>
      <c r="H145" s="71"/>
    </row>
    <row r="146">
      <c r="B146" s="97"/>
      <c r="C146" s="43"/>
      <c r="G146" s="71"/>
      <c r="H146" s="71"/>
    </row>
    <row r="147">
      <c r="B147" s="97"/>
      <c r="C147" s="43"/>
      <c r="G147" s="71"/>
      <c r="H147" s="71"/>
    </row>
    <row r="148">
      <c r="B148" s="97"/>
      <c r="C148" s="43"/>
      <c r="G148" s="71"/>
      <c r="H148" s="71"/>
    </row>
    <row r="149">
      <c r="B149" s="97"/>
      <c r="C149" s="43"/>
      <c r="G149" s="71"/>
      <c r="H149" s="71"/>
    </row>
    <row r="150">
      <c r="B150" s="97"/>
      <c r="C150" s="43"/>
      <c r="G150" s="71"/>
      <c r="H150" s="71"/>
    </row>
    <row r="151">
      <c r="B151" s="97"/>
      <c r="C151" s="43"/>
      <c r="G151" s="71"/>
      <c r="H151" s="71"/>
    </row>
    <row r="152">
      <c r="B152" s="97"/>
      <c r="C152" s="43"/>
      <c r="G152" s="71"/>
      <c r="H152" s="71"/>
    </row>
    <row r="153">
      <c r="B153" s="97"/>
      <c r="C153" s="43"/>
      <c r="G153" s="71"/>
      <c r="H153" s="71"/>
    </row>
    <row r="154">
      <c r="B154" s="97"/>
      <c r="C154" s="43"/>
      <c r="G154" s="71"/>
      <c r="H154" s="71"/>
    </row>
    <row r="155">
      <c r="B155" s="97"/>
      <c r="C155" s="43"/>
      <c r="G155" s="71"/>
      <c r="H155" s="71"/>
    </row>
    <row r="156">
      <c r="B156" s="97"/>
      <c r="C156" s="43"/>
      <c r="G156" s="71"/>
      <c r="H156" s="71"/>
    </row>
    <row r="157">
      <c r="B157" s="97"/>
      <c r="C157" s="43"/>
      <c r="G157" s="71"/>
      <c r="H157" s="71"/>
    </row>
    <row r="158">
      <c r="B158" s="97"/>
      <c r="C158" s="43"/>
      <c r="G158" s="71"/>
      <c r="H158" s="71"/>
    </row>
    <row r="159">
      <c r="B159" s="97"/>
      <c r="C159" s="43"/>
      <c r="G159" s="71"/>
      <c r="H159" s="71"/>
    </row>
    <row r="160">
      <c r="B160" s="97"/>
      <c r="C160" s="43"/>
      <c r="G160" s="71"/>
      <c r="H160" s="71"/>
    </row>
    <row r="161">
      <c r="B161" s="97"/>
      <c r="C161" s="43"/>
      <c r="G161" s="71"/>
      <c r="H161" s="71"/>
    </row>
    <row r="162">
      <c r="B162" s="97"/>
      <c r="C162" s="43"/>
      <c r="G162" s="71"/>
      <c r="H162" s="71"/>
    </row>
    <row r="163">
      <c r="B163" s="97"/>
      <c r="C163" s="43"/>
      <c r="G163" s="71"/>
      <c r="H163" s="71"/>
    </row>
    <row r="164">
      <c r="B164" s="97"/>
      <c r="C164" s="43"/>
      <c r="G164" s="71"/>
      <c r="H164" s="71"/>
    </row>
    <row r="165">
      <c r="B165" s="97"/>
      <c r="C165" s="43"/>
      <c r="G165" s="71"/>
      <c r="H165" s="71"/>
    </row>
    <row r="166">
      <c r="B166" s="97"/>
      <c r="C166" s="43"/>
      <c r="G166" s="71"/>
      <c r="H166" s="71"/>
    </row>
    <row r="167">
      <c r="B167" s="97"/>
      <c r="C167" s="43"/>
      <c r="G167" s="71"/>
      <c r="H167" s="71"/>
    </row>
    <row r="168">
      <c r="B168" s="97"/>
      <c r="C168" s="43"/>
      <c r="G168" s="71"/>
      <c r="H168" s="71"/>
    </row>
    <row r="169">
      <c r="B169" s="97"/>
      <c r="C169" s="43"/>
      <c r="G169" s="71"/>
      <c r="H169" s="71"/>
    </row>
    <row r="170">
      <c r="B170" s="97"/>
      <c r="C170" s="43"/>
      <c r="G170" s="71"/>
      <c r="H170" s="71"/>
    </row>
    <row r="171">
      <c r="B171" s="97"/>
      <c r="C171" s="43"/>
      <c r="G171" s="71"/>
      <c r="H171" s="71"/>
    </row>
    <row r="172">
      <c r="B172" s="97"/>
      <c r="C172" s="43"/>
      <c r="G172" s="71"/>
      <c r="H172" s="71"/>
    </row>
    <row r="173">
      <c r="B173" s="97"/>
      <c r="C173" s="43"/>
      <c r="G173" s="71"/>
      <c r="H173" s="71"/>
    </row>
    <row r="174">
      <c r="B174" s="97"/>
      <c r="C174" s="43"/>
      <c r="G174" s="71"/>
      <c r="H174" s="71"/>
    </row>
    <row r="175">
      <c r="B175" s="97"/>
      <c r="C175" s="43"/>
      <c r="G175" s="71"/>
      <c r="H175" s="71"/>
    </row>
    <row r="176">
      <c r="B176" s="97"/>
      <c r="C176" s="43"/>
      <c r="G176" s="71"/>
      <c r="H176" s="71"/>
    </row>
    <row r="177">
      <c r="B177" s="97"/>
      <c r="C177" s="43"/>
      <c r="G177" s="71"/>
      <c r="H177" s="71"/>
    </row>
    <row r="178">
      <c r="B178" s="97"/>
      <c r="C178" s="43"/>
      <c r="G178" s="71"/>
      <c r="H178" s="71"/>
    </row>
    <row r="179">
      <c r="B179" s="97"/>
      <c r="C179" s="43"/>
      <c r="G179" s="71"/>
      <c r="H179" s="71"/>
    </row>
    <row r="180">
      <c r="B180" s="97"/>
      <c r="C180" s="43"/>
      <c r="G180" s="71"/>
      <c r="H180" s="71"/>
    </row>
    <row r="181">
      <c r="B181" s="97"/>
      <c r="C181" s="43"/>
      <c r="G181" s="71"/>
      <c r="H181" s="71"/>
    </row>
    <row r="182">
      <c r="B182" s="97"/>
      <c r="C182" s="43"/>
      <c r="G182" s="71"/>
      <c r="H182" s="71"/>
    </row>
    <row r="183">
      <c r="B183" s="97"/>
      <c r="C183" s="43"/>
      <c r="G183" s="71"/>
      <c r="H183" s="71"/>
    </row>
    <row r="184">
      <c r="B184" s="97"/>
      <c r="C184" s="43"/>
      <c r="G184" s="71"/>
      <c r="H184" s="71"/>
    </row>
    <row r="185">
      <c r="B185" s="97"/>
      <c r="C185" s="43"/>
      <c r="G185" s="71"/>
      <c r="H185" s="71"/>
    </row>
    <row r="186">
      <c r="B186" s="97"/>
      <c r="C186" s="43"/>
      <c r="G186" s="71"/>
      <c r="H186" s="71"/>
    </row>
    <row r="187">
      <c r="B187" s="97"/>
      <c r="C187" s="43"/>
      <c r="G187" s="71"/>
      <c r="H187" s="71"/>
    </row>
    <row r="188">
      <c r="B188" s="97"/>
      <c r="C188" s="43"/>
      <c r="G188" s="71"/>
      <c r="H188" s="71"/>
    </row>
    <row r="189">
      <c r="B189" s="97"/>
      <c r="C189" s="43"/>
      <c r="G189" s="71"/>
      <c r="H189" s="71"/>
    </row>
    <row r="190">
      <c r="B190" s="97"/>
      <c r="C190" s="43"/>
      <c r="G190" s="71"/>
      <c r="H190" s="71"/>
    </row>
    <row r="191">
      <c r="B191" s="97"/>
      <c r="C191" s="43"/>
      <c r="G191" s="71"/>
      <c r="H191" s="71"/>
    </row>
    <row r="192">
      <c r="B192" s="97"/>
      <c r="C192" s="43"/>
      <c r="G192" s="71"/>
      <c r="H192" s="71"/>
    </row>
    <row r="193">
      <c r="B193" s="97"/>
      <c r="C193" s="43"/>
      <c r="G193" s="71"/>
      <c r="H193" s="71"/>
    </row>
    <row r="194">
      <c r="B194" s="97"/>
      <c r="C194" s="43"/>
      <c r="G194" s="71"/>
      <c r="H194" s="71"/>
    </row>
    <row r="195">
      <c r="B195" s="97"/>
      <c r="C195" s="43"/>
      <c r="G195" s="71"/>
      <c r="H195" s="71"/>
    </row>
    <row r="196">
      <c r="B196" s="97"/>
      <c r="C196" s="43"/>
      <c r="G196" s="71"/>
      <c r="H196" s="71"/>
    </row>
    <row r="197">
      <c r="B197" s="97"/>
      <c r="C197" s="43"/>
      <c r="G197" s="71"/>
      <c r="H197" s="71"/>
    </row>
    <row r="198">
      <c r="B198" s="97"/>
      <c r="C198" s="43"/>
      <c r="G198" s="71"/>
      <c r="H198" s="71"/>
    </row>
    <row r="199">
      <c r="B199" s="97"/>
      <c r="C199" s="43"/>
      <c r="G199" s="71"/>
      <c r="H199" s="71"/>
    </row>
    <row r="200">
      <c r="B200" s="97"/>
      <c r="C200" s="43"/>
      <c r="G200" s="71"/>
      <c r="H200" s="71"/>
    </row>
    <row r="201">
      <c r="B201" s="97"/>
      <c r="C201" s="43"/>
      <c r="G201" s="71"/>
      <c r="H201" s="71"/>
    </row>
    <row r="202">
      <c r="B202" s="97"/>
      <c r="C202" s="43"/>
      <c r="G202" s="71"/>
      <c r="H202" s="71"/>
    </row>
    <row r="203">
      <c r="B203" s="97"/>
      <c r="C203" s="43"/>
      <c r="G203" s="71"/>
      <c r="H203" s="71"/>
    </row>
    <row r="204">
      <c r="B204" s="97"/>
      <c r="C204" s="43"/>
      <c r="G204" s="71"/>
      <c r="H204" s="71"/>
    </row>
    <row r="205">
      <c r="B205" s="97"/>
      <c r="C205" s="43"/>
      <c r="G205" s="71"/>
      <c r="H205" s="71"/>
    </row>
    <row r="206">
      <c r="B206" s="97"/>
      <c r="C206" s="43"/>
      <c r="G206" s="71"/>
      <c r="H206" s="71"/>
    </row>
    <row r="207">
      <c r="B207" s="97"/>
      <c r="C207" s="43"/>
      <c r="G207" s="71"/>
      <c r="H207" s="71"/>
    </row>
    <row r="208">
      <c r="B208" s="97"/>
      <c r="C208" s="43"/>
      <c r="G208" s="71"/>
      <c r="H208" s="71"/>
    </row>
    <row r="209">
      <c r="B209" s="97"/>
      <c r="C209" s="43"/>
      <c r="G209" s="71"/>
      <c r="H209" s="71"/>
    </row>
    <row r="210">
      <c r="B210" s="97"/>
      <c r="C210" s="43"/>
      <c r="G210" s="71"/>
      <c r="H210" s="71"/>
    </row>
    <row r="211">
      <c r="B211" s="97"/>
      <c r="C211" s="43"/>
      <c r="G211" s="71"/>
      <c r="H211" s="71"/>
    </row>
    <row r="212">
      <c r="B212" s="97"/>
      <c r="C212" s="43"/>
      <c r="G212" s="71"/>
      <c r="H212" s="71"/>
    </row>
    <row r="213">
      <c r="B213" s="97"/>
      <c r="C213" s="43"/>
      <c r="G213" s="71"/>
      <c r="H213" s="71"/>
    </row>
    <row r="214">
      <c r="B214" s="97"/>
      <c r="C214" s="43"/>
      <c r="G214" s="71"/>
      <c r="H214" s="71"/>
    </row>
    <row r="215">
      <c r="B215" s="97"/>
      <c r="C215" s="43"/>
      <c r="G215" s="71"/>
      <c r="H215" s="71"/>
    </row>
    <row r="216">
      <c r="B216" s="97"/>
      <c r="C216" s="43"/>
      <c r="G216" s="71"/>
      <c r="H216" s="71"/>
    </row>
    <row r="217">
      <c r="B217" s="97"/>
      <c r="C217" s="43"/>
      <c r="G217" s="71"/>
      <c r="H217" s="71"/>
    </row>
    <row r="218">
      <c r="B218" s="97"/>
      <c r="C218" s="43"/>
      <c r="G218" s="71"/>
      <c r="H218" s="71"/>
    </row>
    <row r="219">
      <c r="B219" s="97"/>
      <c r="C219" s="43"/>
      <c r="G219" s="71"/>
      <c r="H219" s="71"/>
    </row>
    <row r="220">
      <c r="B220" s="97"/>
      <c r="C220" s="43"/>
      <c r="G220" s="71"/>
      <c r="H220" s="71"/>
    </row>
    <row r="221">
      <c r="B221" s="97"/>
      <c r="C221" s="43"/>
      <c r="G221" s="71"/>
      <c r="H221" s="71"/>
    </row>
    <row r="222">
      <c r="B222" s="97"/>
      <c r="C222" s="43"/>
      <c r="G222" s="71"/>
      <c r="H222" s="71"/>
    </row>
    <row r="223">
      <c r="B223" s="97"/>
      <c r="C223" s="43"/>
      <c r="G223" s="71"/>
      <c r="H223" s="71"/>
    </row>
    <row r="224">
      <c r="B224" s="97"/>
      <c r="C224" s="43"/>
      <c r="G224" s="71"/>
      <c r="H224" s="71"/>
    </row>
    <row r="225">
      <c r="B225" s="97"/>
      <c r="C225" s="43"/>
      <c r="G225" s="71"/>
      <c r="H225" s="71"/>
    </row>
    <row r="226">
      <c r="B226" s="97"/>
      <c r="C226" s="43"/>
      <c r="G226" s="71"/>
      <c r="H226" s="71"/>
    </row>
    <row r="227">
      <c r="B227" s="97"/>
      <c r="C227" s="43"/>
      <c r="G227" s="71"/>
      <c r="H227" s="71"/>
    </row>
    <row r="228">
      <c r="B228" s="97"/>
      <c r="C228" s="43"/>
      <c r="G228" s="71"/>
      <c r="H228" s="71"/>
    </row>
    <row r="229">
      <c r="B229" s="97"/>
      <c r="C229" s="43"/>
      <c r="G229" s="71"/>
      <c r="H229" s="71"/>
    </row>
    <row r="230">
      <c r="B230" s="97"/>
      <c r="C230" s="43"/>
      <c r="G230" s="71"/>
      <c r="H230" s="71"/>
    </row>
    <row r="231">
      <c r="B231" s="97"/>
      <c r="C231" s="43"/>
      <c r="G231" s="71"/>
      <c r="H231" s="71"/>
    </row>
    <row r="232">
      <c r="B232" s="97"/>
      <c r="C232" s="43"/>
      <c r="G232" s="71"/>
      <c r="H232" s="71"/>
    </row>
    <row r="233">
      <c r="B233" s="97"/>
      <c r="C233" s="43"/>
      <c r="G233" s="71"/>
      <c r="H233" s="71"/>
    </row>
    <row r="234">
      <c r="B234" s="97"/>
      <c r="C234" s="43"/>
      <c r="G234" s="71"/>
      <c r="H234" s="71"/>
    </row>
    <row r="235">
      <c r="B235" s="97"/>
      <c r="C235" s="43"/>
      <c r="G235" s="71"/>
      <c r="H235" s="71"/>
    </row>
    <row r="236">
      <c r="B236" s="97"/>
      <c r="C236" s="43"/>
      <c r="G236" s="71"/>
      <c r="H236" s="71"/>
    </row>
    <row r="237">
      <c r="B237" s="97"/>
      <c r="C237" s="43"/>
      <c r="G237" s="71"/>
      <c r="H237" s="71"/>
    </row>
    <row r="238">
      <c r="B238" s="97"/>
      <c r="C238" s="43"/>
      <c r="G238" s="71"/>
      <c r="H238" s="71"/>
    </row>
    <row r="239">
      <c r="B239" s="97"/>
      <c r="C239" s="43"/>
      <c r="G239" s="71"/>
      <c r="H239" s="71"/>
    </row>
    <row r="240">
      <c r="B240" s="97"/>
      <c r="C240" s="43"/>
      <c r="G240" s="71"/>
      <c r="H240" s="71"/>
    </row>
    <row r="241">
      <c r="B241" s="97"/>
      <c r="C241" s="43"/>
      <c r="G241" s="71"/>
      <c r="H241" s="71"/>
    </row>
    <row r="242">
      <c r="B242" s="97"/>
      <c r="C242" s="43"/>
      <c r="G242" s="71"/>
      <c r="H242" s="71"/>
    </row>
    <row r="243">
      <c r="B243" s="97"/>
      <c r="C243" s="43"/>
      <c r="G243" s="71"/>
      <c r="H243" s="71"/>
    </row>
    <row r="244">
      <c r="B244" s="97"/>
      <c r="C244" s="43"/>
      <c r="G244" s="71"/>
      <c r="H244" s="71"/>
    </row>
    <row r="245">
      <c r="B245" s="97"/>
      <c r="C245" s="43"/>
      <c r="G245" s="71"/>
      <c r="H245" s="71"/>
    </row>
    <row r="246">
      <c r="B246" s="97"/>
      <c r="C246" s="43"/>
      <c r="G246" s="71"/>
      <c r="H246" s="71"/>
    </row>
    <row r="247">
      <c r="B247" s="97"/>
      <c r="C247" s="43"/>
      <c r="G247" s="71"/>
      <c r="H247" s="71"/>
    </row>
    <row r="248">
      <c r="B248" s="97"/>
      <c r="C248" s="43"/>
      <c r="G248" s="71"/>
      <c r="H248" s="71"/>
    </row>
    <row r="249">
      <c r="B249" s="97"/>
      <c r="C249" s="43"/>
      <c r="G249" s="71"/>
      <c r="H249" s="71"/>
    </row>
    <row r="250">
      <c r="B250" s="97"/>
      <c r="C250" s="43"/>
      <c r="G250" s="71"/>
      <c r="H250" s="71"/>
    </row>
    <row r="251">
      <c r="B251" s="97"/>
      <c r="C251" s="43"/>
      <c r="G251" s="71"/>
      <c r="H251" s="71"/>
    </row>
    <row r="252">
      <c r="B252" s="97"/>
      <c r="C252" s="43"/>
      <c r="G252" s="71"/>
      <c r="H252" s="71"/>
    </row>
    <row r="253">
      <c r="B253" s="97"/>
      <c r="C253" s="43"/>
      <c r="G253" s="71"/>
      <c r="H253" s="71"/>
    </row>
    <row r="254">
      <c r="B254" s="97"/>
      <c r="C254" s="43"/>
      <c r="G254" s="71"/>
      <c r="H254" s="71"/>
    </row>
    <row r="255">
      <c r="B255" s="97"/>
      <c r="C255" s="43"/>
      <c r="G255" s="71"/>
      <c r="H255" s="71"/>
    </row>
    <row r="256">
      <c r="B256" s="97"/>
      <c r="C256" s="43"/>
      <c r="G256" s="71"/>
      <c r="H256" s="71"/>
    </row>
    <row r="257">
      <c r="B257" s="97"/>
      <c r="C257" s="43"/>
      <c r="G257" s="71"/>
      <c r="H257" s="71"/>
    </row>
    <row r="258">
      <c r="B258" s="97"/>
      <c r="C258" s="43"/>
      <c r="G258" s="71"/>
      <c r="H258" s="71"/>
    </row>
    <row r="259">
      <c r="B259" s="97"/>
      <c r="C259" s="43"/>
      <c r="G259" s="71"/>
      <c r="H259" s="71"/>
    </row>
    <row r="260">
      <c r="B260" s="97"/>
      <c r="C260" s="43"/>
      <c r="G260" s="71"/>
      <c r="H260" s="71"/>
    </row>
    <row r="261">
      <c r="B261" s="97"/>
      <c r="C261" s="43"/>
      <c r="G261" s="71"/>
      <c r="H261" s="71"/>
    </row>
    <row r="262">
      <c r="B262" s="97"/>
      <c r="C262" s="43"/>
      <c r="G262" s="71"/>
      <c r="H262" s="71"/>
    </row>
    <row r="263">
      <c r="B263" s="97"/>
      <c r="C263" s="43"/>
      <c r="G263" s="71"/>
      <c r="H263" s="71"/>
    </row>
    <row r="264">
      <c r="B264" s="97"/>
      <c r="C264" s="43"/>
      <c r="G264" s="71"/>
      <c r="H264" s="71"/>
    </row>
    <row r="265">
      <c r="B265" s="97"/>
      <c r="C265" s="43"/>
      <c r="G265" s="71"/>
      <c r="H265" s="71"/>
    </row>
    <row r="266">
      <c r="B266" s="97"/>
      <c r="C266" s="43"/>
      <c r="G266" s="71"/>
      <c r="H266" s="71"/>
    </row>
    <row r="267">
      <c r="B267" s="97"/>
      <c r="C267" s="43"/>
      <c r="G267" s="71"/>
      <c r="H267" s="71"/>
    </row>
    <row r="268">
      <c r="B268" s="97"/>
      <c r="C268" s="43"/>
      <c r="G268" s="71"/>
      <c r="H268" s="71"/>
    </row>
    <row r="269">
      <c r="B269" s="97"/>
      <c r="C269" s="43"/>
      <c r="G269" s="71"/>
      <c r="H269" s="71"/>
    </row>
    <row r="270">
      <c r="B270" s="97"/>
      <c r="C270" s="43"/>
      <c r="G270" s="71"/>
      <c r="H270" s="71"/>
    </row>
    <row r="271">
      <c r="B271" s="97"/>
      <c r="C271" s="43"/>
      <c r="G271" s="71"/>
      <c r="H271" s="71"/>
    </row>
    <row r="272">
      <c r="B272" s="97"/>
      <c r="C272" s="43"/>
      <c r="G272" s="71"/>
      <c r="H272" s="71"/>
    </row>
    <row r="273">
      <c r="B273" s="97"/>
      <c r="C273" s="43"/>
      <c r="G273" s="71"/>
      <c r="H273" s="71"/>
    </row>
    <row r="274">
      <c r="B274" s="97"/>
      <c r="C274" s="43"/>
      <c r="G274" s="71"/>
      <c r="H274" s="71"/>
    </row>
    <row r="275">
      <c r="B275" s="97"/>
      <c r="C275" s="43"/>
      <c r="G275" s="71"/>
      <c r="H275" s="71"/>
    </row>
    <row r="276">
      <c r="B276" s="97"/>
      <c r="C276" s="43"/>
      <c r="G276" s="71"/>
      <c r="H276" s="71"/>
    </row>
    <row r="277">
      <c r="B277" s="97"/>
      <c r="C277" s="43"/>
      <c r="G277" s="71"/>
      <c r="H277" s="71"/>
    </row>
    <row r="278">
      <c r="B278" s="97"/>
      <c r="C278" s="43"/>
      <c r="G278" s="71"/>
      <c r="H278" s="71"/>
    </row>
    <row r="279">
      <c r="B279" s="97"/>
      <c r="C279" s="43"/>
      <c r="G279" s="71"/>
      <c r="H279" s="71"/>
    </row>
    <row r="280">
      <c r="B280" s="97"/>
      <c r="C280" s="43"/>
      <c r="G280" s="71"/>
      <c r="H280" s="71"/>
    </row>
    <row r="281">
      <c r="B281" s="97"/>
      <c r="C281" s="43"/>
      <c r="G281" s="71"/>
      <c r="H281" s="71"/>
    </row>
    <row r="282">
      <c r="B282" s="97"/>
      <c r="C282" s="43"/>
      <c r="G282" s="71"/>
      <c r="H282" s="71"/>
    </row>
    <row r="283">
      <c r="B283" s="97"/>
      <c r="C283" s="43"/>
      <c r="G283" s="71"/>
      <c r="H283" s="71"/>
    </row>
    <row r="284">
      <c r="B284" s="97"/>
      <c r="C284" s="43"/>
      <c r="G284" s="71"/>
      <c r="H284" s="71"/>
    </row>
    <row r="285">
      <c r="B285" s="97"/>
      <c r="C285" s="43"/>
      <c r="G285" s="71"/>
      <c r="H285" s="71"/>
    </row>
    <row r="286">
      <c r="B286" s="97"/>
      <c r="C286" s="43"/>
      <c r="G286" s="71"/>
      <c r="H286" s="71"/>
    </row>
    <row r="287">
      <c r="B287" s="97"/>
      <c r="C287" s="43"/>
      <c r="G287" s="71"/>
      <c r="H287" s="71"/>
    </row>
    <row r="288">
      <c r="B288" s="97"/>
      <c r="C288" s="43"/>
      <c r="G288" s="71"/>
      <c r="H288" s="71"/>
    </row>
    <row r="289">
      <c r="B289" s="97"/>
      <c r="C289" s="43"/>
      <c r="G289" s="71"/>
      <c r="H289" s="71"/>
    </row>
    <row r="290">
      <c r="B290" s="97"/>
      <c r="C290" s="43"/>
      <c r="G290" s="71"/>
      <c r="H290" s="71"/>
    </row>
    <row r="291">
      <c r="B291" s="97"/>
      <c r="C291" s="43"/>
      <c r="G291" s="71"/>
      <c r="H291" s="71"/>
    </row>
    <row r="292">
      <c r="B292" s="97"/>
      <c r="C292" s="43"/>
      <c r="G292" s="71"/>
      <c r="H292" s="71"/>
    </row>
    <row r="293">
      <c r="B293" s="97"/>
      <c r="C293" s="43"/>
      <c r="G293" s="71"/>
      <c r="H293" s="71"/>
    </row>
    <row r="294">
      <c r="B294" s="97"/>
      <c r="C294" s="43"/>
      <c r="G294" s="71"/>
      <c r="H294" s="71"/>
    </row>
    <row r="295">
      <c r="B295" s="97"/>
      <c r="C295" s="43"/>
      <c r="G295" s="71"/>
      <c r="H295" s="71"/>
    </row>
    <row r="296">
      <c r="B296" s="97"/>
      <c r="C296" s="43"/>
      <c r="G296" s="71"/>
      <c r="H296" s="71"/>
    </row>
    <row r="297">
      <c r="B297" s="97"/>
      <c r="C297" s="43"/>
      <c r="G297" s="71"/>
      <c r="H297" s="71"/>
    </row>
    <row r="298">
      <c r="B298" s="97"/>
      <c r="C298" s="43"/>
      <c r="G298" s="71"/>
      <c r="H298" s="71"/>
    </row>
    <row r="299">
      <c r="B299" s="97"/>
      <c r="C299" s="43"/>
      <c r="G299" s="71"/>
      <c r="H299" s="71"/>
    </row>
    <row r="300">
      <c r="B300" s="97"/>
      <c r="C300" s="43"/>
      <c r="G300" s="71"/>
      <c r="H300" s="71"/>
    </row>
    <row r="301">
      <c r="B301" s="97"/>
      <c r="C301" s="43"/>
      <c r="G301" s="71"/>
      <c r="H301" s="71"/>
    </row>
    <row r="302">
      <c r="B302" s="97"/>
      <c r="C302" s="43"/>
      <c r="G302" s="71"/>
      <c r="H302" s="71"/>
    </row>
    <row r="303">
      <c r="B303" s="97"/>
      <c r="C303" s="43"/>
      <c r="G303" s="71"/>
      <c r="H303" s="71"/>
    </row>
    <row r="304">
      <c r="B304" s="97"/>
      <c r="C304" s="43"/>
      <c r="G304" s="71"/>
      <c r="H304" s="71"/>
    </row>
    <row r="305">
      <c r="B305" s="97"/>
      <c r="C305" s="43"/>
      <c r="G305" s="71"/>
      <c r="H305" s="71"/>
    </row>
    <row r="306">
      <c r="B306" s="97"/>
      <c r="C306" s="43"/>
      <c r="G306" s="71"/>
      <c r="H306" s="71"/>
    </row>
    <row r="307">
      <c r="B307" s="97"/>
      <c r="C307" s="43"/>
      <c r="G307" s="71"/>
      <c r="H307" s="71"/>
    </row>
    <row r="308">
      <c r="B308" s="97"/>
      <c r="C308" s="43"/>
      <c r="G308" s="71"/>
      <c r="H308" s="71"/>
    </row>
    <row r="309">
      <c r="B309" s="97"/>
      <c r="C309" s="43"/>
      <c r="G309" s="71"/>
      <c r="H309" s="71"/>
    </row>
    <row r="310">
      <c r="B310" s="97"/>
      <c r="C310" s="43"/>
      <c r="G310" s="71"/>
      <c r="H310" s="71"/>
    </row>
    <row r="311">
      <c r="B311" s="97"/>
      <c r="C311" s="43"/>
      <c r="G311" s="71"/>
      <c r="H311" s="71"/>
    </row>
    <row r="312">
      <c r="B312" s="97"/>
      <c r="C312" s="43"/>
      <c r="G312" s="71"/>
      <c r="H312" s="71"/>
    </row>
    <row r="313">
      <c r="B313" s="97"/>
      <c r="C313" s="43"/>
      <c r="G313" s="71"/>
      <c r="H313" s="71"/>
    </row>
    <row r="314">
      <c r="B314" s="97"/>
      <c r="C314" s="43"/>
      <c r="G314" s="71"/>
      <c r="H314" s="71"/>
    </row>
    <row r="315">
      <c r="B315" s="97"/>
      <c r="C315" s="43"/>
      <c r="G315" s="71"/>
      <c r="H315" s="71"/>
    </row>
    <row r="316">
      <c r="B316" s="97"/>
      <c r="C316" s="43"/>
      <c r="G316" s="71"/>
      <c r="H316" s="71"/>
    </row>
    <row r="317">
      <c r="B317" s="97"/>
      <c r="C317" s="43"/>
      <c r="G317" s="71"/>
      <c r="H317" s="71"/>
    </row>
    <row r="318">
      <c r="B318" s="97"/>
      <c r="C318" s="43"/>
      <c r="G318" s="71"/>
      <c r="H318" s="71"/>
    </row>
    <row r="319">
      <c r="B319" s="97"/>
      <c r="C319" s="43"/>
      <c r="G319" s="71"/>
      <c r="H319" s="71"/>
    </row>
    <row r="320">
      <c r="B320" s="97"/>
      <c r="C320" s="43"/>
      <c r="G320" s="71"/>
      <c r="H320" s="71"/>
    </row>
    <row r="321">
      <c r="B321" s="97"/>
      <c r="C321" s="43"/>
      <c r="G321" s="71"/>
      <c r="H321" s="71"/>
    </row>
    <row r="322">
      <c r="B322" s="97"/>
      <c r="C322" s="43"/>
      <c r="G322" s="71"/>
      <c r="H322" s="71"/>
    </row>
    <row r="323">
      <c r="B323" s="97"/>
      <c r="C323" s="43"/>
      <c r="G323" s="71"/>
      <c r="H323" s="71"/>
    </row>
    <row r="324">
      <c r="B324" s="97"/>
      <c r="C324" s="43"/>
      <c r="G324" s="71"/>
      <c r="H324" s="71"/>
    </row>
    <row r="325">
      <c r="B325" s="97"/>
      <c r="C325" s="43"/>
      <c r="G325" s="71"/>
      <c r="H325" s="71"/>
    </row>
    <row r="326">
      <c r="B326" s="97"/>
      <c r="C326" s="43"/>
      <c r="G326" s="71"/>
      <c r="H326" s="71"/>
    </row>
    <row r="327">
      <c r="B327" s="97"/>
      <c r="C327" s="43"/>
      <c r="G327" s="71"/>
      <c r="H327" s="71"/>
    </row>
    <row r="328">
      <c r="B328" s="97"/>
      <c r="C328" s="43"/>
      <c r="G328" s="71"/>
      <c r="H328" s="71"/>
    </row>
    <row r="329">
      <c r="B329" s="97"/>
      <c r="C329" s="43"/>
      <c r="G329" s="71"/>
      <c r="H329" s="71"/>
    </row>
    <row r="330">
      <c r="B330" s="97"/>
      <c r="C330" s="43"/>
      <c r="G330" s="71"/>
      <c r="H330" s="71"/>
    </row>
    <row r="331">
      <c r="B331" s="97"/>
      <c r="C331" s="43"/>
      <c r="G331" s="71"/>
      <c r="H331" s="71"/>
    </row>
    <row r="332">
      <c r="B332" s="97"/>
      <c r="C332" s="43"/>
      <c r="G332" s="71"/>
      <c r="H332" s="71"/>
    </row>
    <row r="333">
      <c r="B333" s="97"/>
      <c r="C333" s="43"/>
      <c r="G333" s="71"/>
      <c r="H333" s="71"/>
    </row>
    <row r="334">
      <c r="B334" s="97"/>
      <c r="C334" s="43"/>
      <c r="G334" s="71"/>
      <c r="H334" s="71"/>
    </row>
    <row r="335">
      <c r="B335" s="97"/>
      <c r="C335" s="43"/>
      <c r="G335" s="71"/>
      <c r="H335" s="71"/>
    </row>
    <row r="336">
      <c r="B336" s="97"/>
      <c r="C336" s="43"/>
      <c r="G336" s="71"/>
      <c r="H336" s="71"/>
    </row>
    <row r="337">
      <c r="B337" s="97"/>
      <c r="C337" s="43"/>
      <c r="G337" s="71"/>
      <c r="H337" s="71"/>
    </row>
    <row r="338">
      <c r="B338" s="97"/>
      <c r="C338" s="43"/>
      <c r="G338" s="71"/>
      <c r="H338" s="71"/>
    </row>
    <row r="339">
      <c r="B339" s="97"/>
      <c r="C339" s="43"/>
      <c r="G339" s="71"/>
      <c r="H339" s="71"/>
    </row>
    <row r="340">
      <c r="B340" s="97"/>
      <c r="C340" s="43"/>
      <c r="G340" s="71"/>
      <c r="H340" s="71"/>
    </row>
    <row r="341">
      <c r="B341" s="97"/>
      <c r="C341" s="43"/>
      <c r="G341" s="71"/>
      <c r="H341" s="71"/>
    </row>
    <row r="342">
      <c r="B342" s="97"/>
      <c r="C342" s="43"/>
      <c r="G342" s="71"/>
      <c r="H342" s="71"/>
    </row>
    <row r="343">
      <c r="B343" s="97"/>
      <c r="C343" s="43"/>
      <c r="G343" s="71"/>
      <c r="H343" s="71"/>
    </row>
    <row r="344">
      <c r="B344" s="97"/>
      <c r="C344" s="43"/>
      <c r="G344" s="71"/>
      <c r="H344" s="71"/>
    </row>
    <row r="345">
      <c r="B345" s="97"/>
      <c r="C345" s="43"/>
      <c r="G345" s="71"/>
      <c r="H345" s="71"/>
    </row>
    <row r="346">
      <c r="B346" s="97"/>
      <c r="C346" s="43"/>
      <c r="G346" s="71"/>
      <c r="H346" s="71"/>
    </row>
    <row r="347">
      <c r="B347" s="97"/>
      <c r="C347" s="43"/>
      <c r="G347" s="71"/>
      <c r="H347" s="71"/>
    </row>
    <row r="348">
      <c r="B348" s="97"/>
      <c r="C348" s="43"/>
      <c r="G348" s="71"/>
      <c r="H348" s="71"/>
    </row>
    <row r="349">
      <c r="B349" s="97"/>
      <c r="C349" s="43"/>
      <c r="G349" s="71"/>
      <c r="H349" s="71"/>
    </row>
    <row r="350">
      <c r="B350" s="97"/>
      <c r="C350" s="43"/>
      <c r="G350" s="71"/>
      <c r="H350" s="71"/>
    </row>
    <row r="351">
      <c r="B351" s="97"/>
      <c r="C351" s="43"/>
      <c r="G351" s="71"/>
      <c r="H351" s="71"/>
    </row>
    <row r="352">
      <c r="B352" s="97"/>
      <c r="C352" s="43"/>
      <c r="G352" s="71"/>
      <c r="H352" s="71"/>
    </row>
    <row r="353">
      <c r="B353" s="97"/>
      <c r="C353" s="43"/>
      <c r="G353" s="71"/>
      <c r="H353" s="71"/>
    </row>
    <row r="354">
      <c r="B354" s="97"/>
      <c r="C354" s="43"/>
      <c r="G354" s="71"/>
      <c r="H354" s="71"/>
    </row>
    <row r="355">
      <c r="B355" s="97"/>
      <c r="C355" s="43"/>
      <c r="G355" s="71"/>
      <c r="H355" s="71"/>
    </row>
    <row r="356">
      <c r="B356" s="97"/>
      <c r="C356" s="43"/>
      <c r="G356" s="71"/>
      <c r="H356" s="71"/>
    </row>
    <row r="357">
      <c r="B357" s="97"/>
      <c r="C357" s="43"/>
      <c r="G357" s="71"/>
      <c r="H357" s="71"/>
    </row>
    <row r="358">
      <c r="B358" s="97"/>
      <c r="C358" s="43"/>
      <c r="G358" s="71"/>
      <c r="H358" s="71"/>
    </row>
    <row r="359">
      <c r="B359" s="97"/>
      <c r="C359" s="43"/>
      <c r="G359" s="71"/>
      <c r="H359" s="71"/>
    </row>
    <row r="360">
      <c r="B360" s="97"/>
      <c r="C360" s="43"/>
      <c r="G360" s="71"/>
      <c r="H360" s="71"/>
    </row>
    <row r="361">
      <c r="B361" s="97"/>
      <c r="C361" s="43"/>
      <c r="G361" s="71"/>
      <c r="H361" s="71"/>
    </row>
    <row r="362">
      <c r="B362" s="97"/>
      <c r="C362" s="43"/>
      <c r="G362" s="71"/>
      <c r="H362" s="71"/>
    </row>
    <row r="363">
      <c r="B363" s="97"/>
      <c r="C363" s="43"/>
      <c r="G363" s="71"/>
      <c r="H363" s="71"/>
    </row>
    <row r="364">
      <c r="B364" s="97"/>
      <c r="C364" s="43"/>
      <c r="G364" s="71"/>
      <c r="H364" s="71"/>
    </row>
    <row r="365">
      <c r="B365" s="97"/>
      <c r="C365" s="43"/>
      <c r="G365" s="71"/>
      <c r="H365" s="71"/>
    </row>
    <row r="366">
      <c r="B366" s="97"/>
      <c r="C366" s="43"/>
      <c r="G366" s="71"/>
      <c r="H366" s="71"/>
    </row>
    <row r="367">
      <c r="B367" s="97"/>
      <c r="C367" s="43"/>
      <c r="G367" s="71"/>
      <c r="H367" s="71"/>
    </row>
    <row r="368">
      <c r="B368" s="97"/>
      <c r="C368" s="43"/>
      <c r="G368" s="71"/>
      <c r="H368" s="71"/>
    </row>
    <row r="369">
      <c r="B369" s="97"/>
      <c r="C369" s="43"/>
      <c r="G369" s="71"/>
      <c r="H369" s="71"/>
    </row>
    <row r="370">
      <c r="B370" s="97"/>
      <c r="C370" s="43"/>
      <c r="G370" s="71"/>
      <c r="H370" s="71"/>
    </row>
    <row r="371">
      <c r="B371" s="97"/>
      <c r="C371" s="43"/>
      <c r="G371" s="71"/>
      <c r="H371" s="71"/>
    </row>
    <row r="372">
      <c r="B372" s="97"/>
      <c r="C372" s="43"/>
      <c r="G372" s="71"/>
      <c r="H372" s="71"/>
    </row>
    <row r="373">
      <c r="B373" s="97"/>
      <c r="C373" s="43"/>
      <c r="G373" s="71"/>
      <c r="H373" s="71"/>
    </row>
    <row r="374">
      <c r="B374" s="97"/>
      <c r="C374" s="43"/>
      <c r="G374" s="71"/>
      <c r="H374" s="71"/>
    </row>
    <row r="375">
      <c r="B375" s="97"/>
      <c r="C375" s="43"/>
      <c r="G375" s="71"/>
      <c r="H375" s="71"/>
    </row>
    <row r="376">
      <c r="B376" s="97"/>
      <c r="C376" s="43"/>
      <c r="G376" s="71"/>
      <c r="H376" s="71"/>
    </row>
    <row r="377">
      <c r="B377" s="97"/>
      <c r="C377" s="43"/>
      <c r="G377" s="71"/>
      <c r="H377" s="71"/>
    </row>
    <row r="378">
      <c r="B378" s="97"/>
      <c r="C378" s="43"/>
      <c r="G378" s="71"/>
      <c r="H378" s="71"/>
    </row>
    <row r="379">
      <c r="B379" s="97"/>
      <c r="C379" s="43"/>
      <c r="G379" s="71"/>
      <c r="H379" s="71"/>
    </row>
    <row r="380">
      <c r="B380" s="97"/>
      <c r="C380" s="43"/>
      <c r="G380" s="71"/>
      <c r="H380" s="71"/>
    </row>
    <row r="381">
      <c r="B381" s="97"/>
      <c r="C381" s="43"/>
      <c r="G381" s="71"/>
      <c r="H381" s="71"/>
    </row>
    <row r="382">
      <c r="B382" s="97"/>
      <c r="C382" s="43"/>
      <c r="G382" s="71"/>
      <c r="H382" s="71"/>
    </row>
    <row r="383">
      <c r="B383" s="97"/>
      <c r="C383" s="43"/>
      <c r="G383" s="71"/>
      <c r="H383" s="71"/>
    </row>
    <row r="384">
      <c r="B384" s="97"/>
      <c r="C384" s="43"/>
      <c r="G384" s="71"/>
      <c r="H384" s="71"/>
    </row>
    <row r="385">
      <c r="B385" s="97"/>
      <c r="C385" s="43"/>
      <c r="G385" s="71"/>
      <c r="H385" s="71"/>
    </row>
    <row r="386">
      <c r="B386" s="97"/>
      <c r="C386" s="43"/>
      <c r="G386" s="71"/>
      <c r="H386" s="71"/>
    </row>
    <row r="387">
      <c r="B387" s="97"/>
      <c r="C387" s="43"/>
      <c r="G387" s="71"/>
      <c r="H387" s="71"/>
    </row>
    <row r="388">
      <c r="B388" s="97"/>
      <c r="C388" s="43"/>
      <c r="G388" s="71"/>
      <c r="H388" s="71"/>
    </row>
    <row r="389">
      <c r="B389" s="97"/>
      <c r="C389" s="43"/>
      <c r="G389" s="71"/>
      <c r="H389" s="71"/>
    </row>
    <row r="390">
      <c r="B390" s="97"/>
      <c r="C390" s="43"/>
      <c r="G390" s="71"/>
      <c r="H390" s="71"/>
    </row>
    <row r="391">
      <c r="B391" s="97"/>
      <c r="C391" s="43"/>
      <c r="G391" s="71"/>
      <c r="H391" s="71"/>
    </row>
    <row r="392">
      <c r="B392" s="97"/>
      <c r="C392" s="43"/>
      <c r="G392" s="71"/>
      <c r="H392" s="71"/>
    </row>
    <row r="393">
      <c r="B393" s="97"/>
      <c r="C393" s="43"/>
      <c r="G393" s="71"/>
      <c r="H393" s="71"/>
    </row>
    <row r="394">
      <c r="B394" s="97"/>
      <c r="C394" s="43"/>
      <c r="G394" s="71"/>
      <c r="H394" s="71"/>
    </row>
    <row r="395">
      <c r="B395" s="97"/>
      <c r="C395" s="43"/>
      <c r="G395" s="71"/>
      <c r="H395" s="71"/>
    </row>
    <row r="396">
      <c r="B396" s="97"/>
      <c r="C396" s="43"/>
      <c r="G396" s="71"/>
      <c r="H396" s="71"/>
    </row>
    <row r="397">
      <c r="B397" s="97"/>
      <c r="C397" s="43"/>
      <c r="G397" s="71"/>
      <c r="H397" s="71"/>
    </row>
    <row r="398">
      <c r="B398" s="97"/>
      <c r="C398" s="43"/>
      <c r="G398" s="71"/>
      <c r="H398" s="71"/>
    </row>
    <row r="399">
      <c r="B399" s="97"/>
      <c r="C399" s="43"/>
      <c r="G399" s="71"/>
      <c r="H399" s="71"/>
    </row>
    <row r="400">
      <c r="B400" s="97"/>
      <c r="C400" s="43"/>
      <c r="G400" s="71"/>
      <c r="H400" s="71"/>
    </row>
    <row r="401">
      <c r="B401" s="97"/>
      <c r="C401" s="43"/>
      <c r="G401" s="71"/>
      <c r="H401" s="71"/>
    </row>
    <row r="402">
      <c r="B402" s="97"/>
      <c r="C402" s="43"/>
      <c r="G402" s="71"/>
      <c r="H402" s="71"/>
    </row>
    <row r="403">
      <c r="B403" s="97"/>
      <c r="C403" s="43"/>
      <c r="G403" s="71"/>
      <c r="H403" s="71"/>
    </row>
    <row r="404">
      <c r="B404" s="97"/>
      <c r="C404" s="43"/>
      <c r="G404" s="71"/>
      <c r="H404" s="71"/>
    </row>
    <row r="405">
      <c r="B405" s="97"/>
      <c r="C405" s="43"/>
      <c r="G405" s="71"/>
      <c r="H405" s="71"/>
    </row>
    <row r="406">
      <c r="B406" s="97"/>
      <c r="C406" s="43"/>
      <c r="G406" s="71"/>
      <c r="H406" s="71"/>
    </row>
    <row r="407">
      <c r="B407" s="97"/>
      <c r="C407" s="43"/>
      <c r="G407" s="71"/>
      <c r="H407" s="71"/>
    </row>
    <row r="408">
      <c r="B408" s="97"/>
      <c r="C408" s="43"/>
      <c r="G408" s="71"/>
      <c r="H408" s="71"/>
    </row>
    <row r="409">
      <c r="B409" s="97"/>
      <c r="C409" s="43"/>
      <c r="G409" s="71"/>
      <c r="H409" s="71"/>
    </row>
    <row r="410">
      <c r="B410" s="97"/>
      <c r="C410" s="43"/>
      <c r="G410" s="71"/>
      <c r="H410" s="71"/>
    </row>
    <row r="411">
      <c r="B411" s="97"/>
      <c r="C411" s="43"/>
      <c r="G411" s="71"/>
      <c r="H411" s="71"/>
    </row>
    <row r="412">
      <c r="B412" s="97"/>
      <c r="C412" s="43"/>
      <c r="G412" s="71"/>
      <c r="H412" s="71"/>
    </row>
    <row r="413">
      <c r="B413" s="97"/>
      <c r="C413" s="43"/>
      <c r="G413" s="71"/>
      <c r="H413" s="71"/>
    </row>
    <row r="414">
      <c r="B414" s="97"/>
      <c r="C414" s="43"/>
      <c r="G414" s="71"/>
      <c r="H414" s="71"/>
    </row>
    <row r="415">
      <c r="B415" s="97"/>
      <c r="C415" s="43"/>
      <c r="G415" s="71"/>
      <c r="H415" s="71"/>
    </row>
    <row r="416">
      <c r="B416" s="97"/>
      <c r="C416" s="43"/>
      <c r="G416" s="71"/>
      <c r="H416" s="71"/>
    </row>
    <row r="417">
      <c r="B417" s="97"/>
      <c r="C417" s="43"/>
      <c r="G417" s="71"/>
      <c r="H417" s="71"/>
    </row>
    <row r="418">
      <c r="B418" s="97"/>
      <c r="C418" s="43"/>
      <c r="G418" s="71"/>
      <c r="H418" s="71"/>
    </row>
    <row r="419">
      <c r="B419" s="97"/>
      <c r="C419" s="43"/>
      <c r="G419" s="71"/>
      <c r="H419" s="71"/>
    </row>
    <row r="420">
      <c r="B420" s="97"/>
      <c r="C420" s="43"/>
      <c r="G420" s="71"/>
      <c r="H420" s="71"/>
    </row>
    <row r="421">
      <c r="B421" s="97"/>
      <c r="C421" s="43"/>
      <c r="G421" s="71"/>
      <c r="H421" s="71"/>
    </row>
    <row r="422">
      <c r="B422" s="97"/>
      <c r="C422" s="43"/>
      <c r="G422" s="71"/>
      <c r="H422" s="71"/>
    </row>
    <row r="423">
      <c r="B423" s="97"/>
      <c r="C423" s="43"/>
      <c r="G423" s="71"/>
      <c r="H423" s="71"/>
    </row>
    <row r="424">
      <c r="B424" s="97"/>
      <c r="C424" s="43"/>
      <c r="G424" s="71"/>
      <c r="H424" s="71"/>
    </row>
    <row r="425">
      <c r="B425" s="97"/>
      <c r="C425" s="43"/>
      <c r="G425" s="71"/>
      <c r="H425" s="71"/>
    </row>
    <row r="426">
      <c r="B426" s="97"/>
      <c r="C426" s="43"/>
      <c r="G426" s="71"/>
      <c r="H426" s="71"/>
    </row>
    <row r="427">
      <c r="B427" s="97"/>
      <c r="C427" s="43"/>
      <c r="G427" s="71"/>
      <c r="H427" s="71"/>
    </row>
    <row r="428">
      <c r="B428" s="97"/>
      <c r="C428" s="43"/>
      <c r="G428" s="71"/>
      <c r="H428" s="71"/>
    </row>
    <row r="429">
      <c r="B429" s="97"/>
      <c r="C429" s="43"/>
      <c r="G429" s="71"/>
      <c r="H429" s="71"/>
    </row>
    <row r="430">
      <c r="B430" s="97"/>
      <c r="C430" s="43"/>
      <c r="G430" s="71"/>
      <c r="H430" s="71"/>
    </row>
    <row r="431">
      <c r="B431" s="97"/>
      <c r="C431" s="43"/>
      <c r="G431" s="71"/>
      <c r="H431" s="71"/>
    </row>
    <row r="432">
      <c r="B432" s="97"/>
      <c r="C432" s="43"/>
      <c r="G432" s="71"/>
      <c r="H432" s="71"/>
    </row>
    <row r="433">
      <c r="B433" s="97"/>
      <c r="C433" s="43"/>
      <c r="G433" s="71"/>
      <c r="H433" s="71"/>
    </row>
    <row r="434">
      <c r="B434" s="97"/>
      <c r="C434" s="43"/>
      <c r="G434" s="71"/>
      <c r="H434" s="71"/>
    </row>
    <row r="435">
      <c r="B435" s="97"/>
      <c r="C435" s="43"/>
      <c r="G435" s="71"/>
      <c r="H435" s="71"/>
    </row>
    <row r="436">
      <c r="B436" s="97"/>
      <c r="C436" s="43"/>
      <c r="G436" s="71"/>
      <c r="H436" s="71"/>
    </row>
    <row r="437">
      <c r="B437" s="97"/>
      <c r="C437" s="43"/>
      <c r="G437" s="71"/>
      <c r="H437" s="71"/>
    </row>
    <row r="438">
      <c r="B438" s="97"/>
      <c r="C438" s="43"/>
      <c r="G438" s="71"/>
      <c r="H438" s="71"/>
    </row>
    <row r="439">
      <c r="B439" s="97"/>
      <c r="C439" s="43"/>
      <c r="G439" s="71"/>
      <c r="H439" s="71"/>
    </row>
    <row r="440">
      <c r="B440" s="97"/>
      <c r="C440" s="43"/>
      <c r="G440" s="71"/>
      <c r="H440" s="71"/>
    </row>
    <row r="441">
      <c r="B441" s="97"/>
      <c r="C441" s="43"/>
      <c r="G441" s="71"/>
      <c r="H441" s="71"/>
    </row>
    <row r="442">
      <c r="B442" s="97"/>
      <c r="C442" s="43"/>
      <c r="G442" s="71"/>
      <c r="H442" s="71"/>
    </row>
    <row r="443">
      <c r="B443" s="97"/>
      <c r="C443" s="43"/>
      <c r="G443" s="71"/>
      <c r="H443" s="71"/>
    </row>
    <row r="444">
      <c r="B444" s="97"/>
      <c r="C444" s="43"/>
      <c r="G444" s="71"/>
      <c r="H444" s="71"/>
    </row>
    <row r="445">
      <c r="B445" s="97"/>
      <c r="C445" s="43"/>
      <c r="G445" s="71"/>
      <c r="H445" s="71"/>
    </row>
    <row r="446">
      <c r="B446" s="97"/>
      <c r="C446" s="43"/>
      <c r="G446" s="71"/>
      <c r="H446" s="71"/>
    </row>
    <row r="447">
      <c r="B447" s="97"/>
      <c r="C447" s="43"/>
      <c r="G447" s="71"/>
      <c r="H447" s="71"/>
    </row>
    <row r="448">
      <c r="B448" s="97"/>
      <c r="C448" s="43"/>
      <c r="G448" s="71"/>
      <c r="H448" s="71"/>
    </row>
    <row r="449">
      <c r="B449" s="97"/>
      <c r="C449" s="43"/>
      <c r="G449" s="71"/>
      <c r="H449" s="71"/>
    </row>
    <row r="450">
      <c r="B450" s="97"/>
      <c r="C450" s="43"/>
      <c r="G450" s="71"/>
      <c r="H450" s="71"/>
    </row>
    <row r="451">
      <c r="B451" s="97"/>
      <c r="C451" s="43"/>
      <c r="G451" s="71"/>
      <c r="H451" s="71"/>
    </row>
    <row r="452">
      <c r="B452" s="97"/>
      <c r="C452" s="43"/>
      <c r="G452" s="71"/>
      <c r="H452" s="71"/>
    </row>
    <row r="453">
      <c r="B453" s="97"/>
      <c r="C453" s="43"/>
      <c r="G453" s="71"/>
      <c r="H453" s="71"/>
    </row>
    <row r="454">
      <c r="B454" s="97"/>
      <c r="C454" s="43"/>
      <c r="G454" s="71"/>
      <c r="H454" s="71"/>
    </row>
    <row r="455">
      <c r="B455" s="97"/>
      <c r="C455" s="43"/>
      <c r="G455" s="71"/>
      <c r="H455" s="71"/>
    </row>
    <row r="456">
      <c r="B456" s="97"/>
      <c r="C456" s="43"/>
      <c r="G456" s="71"/>
      <c r="H456" s="71"/>
    </row>
    <row r="457">
      <c r="B457" s="97"/>
      <c r="C457" s="43"/>
      <c r="G457" s="71"/>
      <c r="H457" s="71"/>
    </row>
    <row r="458">
      <c r="B458" s="97"/>
      <c r="C458" s="43"/>
      <c r="G458" s="71"/>
      <c r="H458" s="71"/>
    </row>
    <row r="459">
      <c r="B459" s="97"/>
      <c r="C459" s="43"/>
      <c r="G459" s="71"/>
      <c r="H459" s="71"/>
    </row>
    <row r="460">
      <c r="B460" s="97"/>
      <c r="C460" s="43"/>
      <c r="G460" s="71"/>
      <c r="H460" s="71"/>
    </row>
    <row r="461">
      <c r="B461" s="97"/>
      <c r="C461" s="43"/>
      <c r="G461" s="71"/>
      <c r="H461" s="71"/>
    </row>
    <row r="462">
      <c r="B462" s="97"/>
      <c r="C462" s="43"/>
      <c r="G462" s="71"/>
      <c r="H462" s="71"/>
    </row>
    <row r="463">
      <c r="B463" s="97"/>
      <c r="C463" s="43"/>
      <c r="G463" s="71"/>
      <c r="H463" s="71"/>
    </row>
    <row r="464">
      <c r="B464" s="97"/>
      <c r="C464" s="43"/>
      <c r="G464" s="71"/>
      <c r="H464" s="71"/>
    </row>
    <row r="465">
      <c r="B465" s="97"/>
      <c r="C465" s="43"/>
      <c r="G465" s="71"/>
      <c r="H465" s="71"/>
    </row>
    <row r="466">
      <c r="B466" s="97"/>
      <c r="C466" s="43"/>
      <c r="G466" s="71"/>
      <c r="H466" s="71"/>
    </row>
    <row r="467">
      <c r="B467" s="97"/>
      <c r="C467" s="43"/>
      <c r="G467" s="71"/>
      <c r="H467" s="71"/>
    </row>
    <row r="468">
      <c r="B468" s="97"/>
      <c r="C468" s="43"/>
      <c r="G468" s="71"/>
      <c r="H468" s="71"/>
    </row>
    <row r="469">
      <c r="B469" s="97"/>
      <c r="C469" s="43"/>
      <c r="G469" s="71"/>
      <c r="H469" s="71"/>
    </row>
    <row r="470">
      <c r="B470" s="97"/>
      <c r="C470" s="43"/>
      <c r="G470" s="71"/>
      <c r="H470" s="71"/>
    </row>
    <row r="471">
      <c r="B471" s="97"/>
      <c r="C471" s="43"/>
      <c r="G471" s="71"/>
      <c r="H471" s="71"/>
    </row>
    <row r="472">
      <c r="B472" s="97"/>
      <c r="C472" s="43"/>
      <c r="G472" s="71"/>
      <c r="H472" s="71"/>
    </row>
    <row r="473">
      <c r="B473" s="97"/>
      <c r="C473" s="43"/>
      <c r="G473" s="71"/>
      <c r="H473" s="71"/>
    </row>
    <row r="474">
      <c r="B474" s="97"/>
      <c r="C474" s="43"/>
      <c r="G474" s="71"/>
      <c r="H474" s="71"/>
    </row>
    <row r="475">
      <c r="B475" s="97"/>
      <c r="C475" s="43"/>
      <c r="G475" s="71"/>
      <c r="H475" s="71"/>
    </row>
    <row r="476">
      <c r="B476" s="97"/>
      <c r="C476" s="43"/>
      <c r="G476" s="71"/>
      <c r="H476" s="71"/>
    </row>
    <row r="477">
      <c r="B477" s="97"/>
      <c r="C477" s="43"/>
      <c r="G477" s="71"/>
      <c r="H477" s="71"/>
    </row>
    <row r="478">
      <c r="B478" s="97"/>
      <c r="C478" s="43"/>
      <c r="G478" s="71"/>
      <c r="H478" s="71"/>
    </row>
    <row r="479">
      <c r="B479" s="97"/>
      <c r="C479" s="43"/>
      <c r="G479" s="71"/>
      <c r="H479" s="71"/>
    </row>
    <row r="480">
      <c r="B480" s="97"/>
      <c r="C480" s="43"/>
      <c r="G480" s="71"/>
      <c r="H480" s="71"/>
    </row>
    <row r="481">
      <c r="B481" s="97"/>
      <c r="C481" s="43"/>
      <c r="G481" s="71"/>
      <c r="H481" s="71"/>
    </row>
    <row r="482">
      <c r="B482" s="97"/>
      <c r="C482" s="43"/>
      <c r="G482" s="71"/>
      <c r="H482" s="71"/>
    </row>
    <row r="483">
      <c r="B483" s="97"/>
      <c r="C483" s="43"/>
      <c r="G483" s="71"/>
      <c r="H483" s="71"/>
    </row>
    <row r="484">
      <c r="B484" s="97"/>
      <c r="C484" s="43"/>
      <c r="G484" s="71"/>
      <c r="H484" s="71"/>
    </row>
    <row r="485">
      <c r="B485" s="97"/>
      <c r="C485" s="43"/>
      <c r="G485" s="71"/>
      <c r="H485" s="71"/>
    </row>
    <row r="486">
      <c r="B486" s="97"/>
      <c r="C486" s="43"/>
      <c r="G486" s="71"/>
      <c r="H486" s="71"/>
    </row>
    <row r="487">
      <c r="B487" s="97"/>
      <c r="C487" s="43"/>
      <c r="G487" s="71"/>
      <c r="H487" s="71"/>
    </row>
    <row r="488">
      <c r="B488" s="97"/>
      <c r="C488" s="43"/>
      <c r="G488" s="71"/>
      <c r="H488" s="71"/>
    </row>
    <row r="489">
      <c r="B489" s="97"/>
      <c r="C489" s="43"/>
      <c r="G489" s="71"/>
      <c r="H489" s="71"/>
    </row>
    <row r="490">
      <c r="B490" s="97"/>
      <c r="C490" s="43"/>
      <c r="G490" s="71"/>
      <c r="H490" s="71"/>
    </row>
    <row r="491">
      <c r="B491" s="97"/>
      <c r="C491" s="43"/>
      <c r="G491" s="71"/>
      <c r="H491" s="71"/>
    </row>
    <row r="492">
      <c r="B492" s="97"/>
      <c r="C492" s="43"/>
      <c r="G492" s="71"/>
      <c r="H492" s="71"/>
    </row>
    <row r="493">
      <c r="B493" s="97"/>
      <c r="C493" s="43"/>
      <c r="G493" s="71"/>
      <c r="H493" s="71"/>
    </row>
    <row r="494">
      <c r="B494" s="97"/>
      <c r="C494" s="43"/>
      <c r="G494" s="71"/>
      <c r="H494" s="71"/>
    </row>
    <row r="495">
      <c r="B495" s="97"/>
      <c r="C495" s="43"/>
      <c r="G495" s="71"/>
      <c r="H495" s="71"/>
    </row>
    <row r="496">
      <c r="B496" s="97"/>
      <c r="C496" s="43"/>
      <c r="G496" s="71"/>
      <c r="H496" s="71"/>
    </row>
    <row r="497">
      <c r="B497" s="97"/>
      <c r="C497" s="43"/>
      <c r="G497" s="71"/>
      <c r="H497" s="71"/>
    </row>
    <row r="498">
      <c r="B498" s="97"/>
      <c r="C498" s="43"/>
      <c r="G498" s="71"/>
      <c r="H498" s="71"/>
    </row>
    <row r="499">
      <c r="B499" s="97"/>
      <c r="C499" s="43"/>
      <c r="G499" s="71"/>
      <c r="H499" s="71"/>
    </row>
    <row r="500">
      <c r="B500" s="97"/>
      <c r="C500" s="43"/>
      <c r="G500" s="71"/>
      <c r="H500" s="71"/>
    </row>
    <row r="501">
      <c r="B501" s="97"/>
      <c r="C501" s="43"/>
      <c r="G501" s="71"/>
      <c r="H501" s="71"/>
    </row>
    <row r="502">
      <c r="B502" s="97"/>
      <c r="C502" s="43"/>
      <c r="G502" s="71"/>
      <c r="H502" s="71"/>
    </row>
    <row r="503">
      <c r="B503" s="97"/>
      <c r="C503" s="43"/>
      <c r="G503" s="71"/>
      <c r="H503" s="71"/>
    </row>
    <row r="504">
      <c r="B504" s="97"/>
      <c r="C504" s="43"/>
      <c r="G504" s="71"/>
      <c r="H504" s="71"/>
    </row>
    <row r="505">
      <c r="B505" s="97"/>
      <c r="C505" s="43"/>
      <c r="G505" s="71"/>
      <c r="H505" s="71"/>
    </row>
    <row r="506">
      <c r="B506" s="97"/>
      <c r="C506" s="43"/>
      <c r="G506" s="71"/>
      <c r="H506" s="71"/>
    </row>
    <row r="507">
      <c r="B507" s="97"/>
      <c r="C507" s="43"/>
      <c r="G507" s="71"/>
      <c r="H507" s="71"/>
    </row>
    <row r="508">
      <c r="B508" s="97"/>
      <c r="C508" s="43"/>
      <c r="G508" s="71"/>
      <c r="H508" s="71"/>
    </row>
    <row r="509">
      <c r="B509" s="97"/>
      <c r="C509" s="43"/>
      <c r="G509" s="71"/>
      <c r="H509" s="71"/>
    </row>
    <row r="510">
      <c r="B510" s="97"/>
      <c r="C510" s="43"/>
      <c r="G510" s="71"/>
      <c r="H510" s="71"/>
    </row>
    <row r="511">
      <c r="B511" s="97"/>
      <c r="C511" s="43"/>
      <c r="G511" s="71"/>
      <c r="H511" s="71"/>
    </row>
    <row r="512">
      <c r="B512" s="97"/>
      <c r="C512" s="43"/>
      <c r="G512" s="71"/>
      <c r="H512" s="71"/>
    </row>
    <row r="513">
      <c r="B513" s="97"/>
      <c r="C513" s="43"/>
      <c r="G513" s="71"/>
      <c r="H513" s="71"/>
    </row>
    <row r="514">
      <c r="B514" s="97"/>
      <c r="C514" s="43"/>
      <c r="G514" s="71"/>
      <c r="H514" s="71"/>
    </row>
    <row r="515">
      <c r="B515" s="97"/>
      <c r="C515" s="43"/>
      <c r="G515" s="71"/>
      <c r="H515" s="71"/>
    </row>
    <row r="516">
      <c r="B516" s="97"/>
      <c r="C516" s="43"/>
      <c r="G516" s="71"/>
      <c r="H516" s="71"/>
    </row>
    <row r="517">
      <c r="B517" s="97"/>
      <c r="C517" s="43"/>
      <c r="G517" s="71"/>
      <c r="H517" s="71"/>
    </row>
    <row r="518">
      <c r="B518" s="97"/>
      <c r="C518" s="43"/>
      <c r="G518" s="71"/>
      <c r="H518" s="71"/>
    </row>
    <row r="519">
      <c r="B519" s="97"/>
      <c r="C519" s="43"/>
      <c r="G519" s="71"/>
      <c r="H519" s="71"/>
    </row>
    <row r="520">
      <c r="B520" s="97"/>
      <c r="C520" s="43"/>
      <c r="G520" s="71"/>
      <c r="H520" s="71"/>
    </row>
    <row r="521">
      <c r="B521" s="97"/>
      <c r="C521" s="43"/>
      <c r="G521" s="71"/>
      <c r="H521" s="71"/>
    </row>
    <row r="522">
      <c r="B522" s="97"/>
      <c r="C522" s="43"/>
      <c r="G522" s="71"/>
      <c r="H522" s="71"/>
    </row>
    <row r="523">
      <c r="B523" s="97"/>
      <c r="C523" s="43"/>
      <c r="G523" s="71"/>
      <c r="H523" s="71"/>
    </row>
    <row r="524">
      <c r="B524" s="97"/>
      <c r="C524" s="43"/>
      <c r="G524" s="71"/>
      <c r="H524" s="71"/>
    </row>
    <row r="525">
      <c r="B525" s="97"/>
      <c r="C525" s="43"/>
      <c r="G525" s="71"/>
      <c r="H525" s="71"/>
    </row>
    <row r="526">
      <c r="B526" s="97"/>
      <c r="C526" s="43"/>
      <c r="G526" s="71"/>
      <c r="H526" s="71"/>
    </row>
    <row r="527">
      <c r="B527" s="97"/>
      <c r="C527" s="43"/>
      <c r="G527" s="71"/>
      <c r="H527" s="71"/>
    </row>
    <row r="528">
      <c r="B528" s="97"/>
      <c r="C528" s="43"/>
      <c r="G528" s="71"/>
      <c r="H528" s="71"/>
    </row>
    <row r="529">
      <c r="B529" s="97"/>
      <c r="C529" s="43"/>
      <c r="G529" s="71"/>
      <c r="H529" s="71"/>
    </row>
    <row r="530">
      <c r="B530" s="97"/>
      <c r="C530" s="43"/>
      <c r="G530" s="71"/>
      <c r="H530" s="71"/>
    </row>
    <row r="531">
      <c r="B531" s="97"/>
      <c r="C531" s="43"/>
      <c r="G531" s="71"/>
      <c r="H531" s="71"/>
    </row>
    <row r="532">
      <c r="B532" s="97"/>
      <c r="C532" s="43"/>
      <c r="G532" s="71"/>
      <c r="H532" s="71"/>
    </row>
    <row r="533">
      <c r="B533" s="97"/>
      <c r="C533" s="43"/>
      <c r="G533" s="71"/>
      <c r="H533" s="71"/>
    </row>
    <row r="534">
      <c r="B534" s="97"/>
      <c r="C534" s="43"/>
      <c r="G534" s="71"/>
      <c r="H534" s="71"/>
    </row>
    <row r="535">
      <c r="B535" s="97"/>
      <c r="C535" s="43"/>
      <c r="G535" s="71"/>
      <c r="H535" s="71"/>
    </row>
    <row r="536">
      <c r="B536" s="97"/>
      <c r="C536" s="43"/>
      <c r="G536" s="71"/>
      <c r="H536" s="71"/>
    </row>
    <row r="537">
      <c r="B537" s="97"/>
      <c r="C537" s="43"/>
      <c r="G537" s="71"/>
      <c r="H537" s="71"/>
    </row>
    <row r="538">
      <c r="B538" s="97"/>
      <c r="C538" s="43"/>
      <c r="G538" s="71"/>
      <c r="H538" s="71"/>
    </row>
    <row r="539">
      <c r="B539" s="97"/>
      <c r="C539" s="43"/>
      <c r="G539" s="71"/>
      <c r="H539" s="71"/>
    </row>
    <row r="540">
      <c r="B540" s="97"/>
      <c r="C540" s="43"/>
      <c r="G540" s="71"/>
      <c r="H540" s="71"/>
    </row>
    <row r="541">
      <c r="B541" s="97"/>
      <c r="C541" s="43"/>
      <c r="G541" s="71"/>
      <c r="H541" s="71"/>
    </row>
    <row r="542">
      <c r="B542" s="97"/>
      <c r="C542" s="43"/>
      <c r="G542" s="71"/>
      <c r="H542" s="71"/>
    </row>
    <row r="543">
      <c r="B543" s="97"/>
      <c r="C543" s="43"/>
      <c r="G543" s="71"/>
      <c r="H543" s="71"/>
    </row>
    <row r="544">
      <c r="B544" s="97"/>
      <c r="C544" s="43"/>
      <c r="G544" s="71"/>
      <c r="H544" s="71"/>
    </row>
    <row r="545">
      <c r="B545" s="97"/>
      <c r="C545" s="43"/>
      <c r="G545" s="71"/>
      <c r="H545" s="71"/>
    </row>
    <row r="546">
      <c r="B546" s="97"/>
      <c r="C546" s="43"/>
      <c r="G546" s="71"/>
      <c r="H546" s="71"/>
    </row>
    <row r="547">
      <c r="B547" s="97"/>
      <c r="C547" s="43"/>
      <c r="G547" s="71"/>
      <c r="H547" s="71"/>
    </row>
    <row r="548">
      <c r="B548" s="97"/>
      <c r="C548" s="43"/>
      <c r="G548" s="71"/>
      <c r="H548" s="71"/>
    </row>
    <row r="549">
      <c r="B549" s="97"/>
      <c r="C549" s="43"/>
      <c r="G549" s="71"/>
      <c r="H549" s="71"/>
    </row>
    <row r="550">
      <c r="B550" s="97"/>
      <c r="C550" s="43"/>
      <c r="G550" s="71"/>
      <c r="H550" s="71"/>
    </row>
    <row r="551">
      <c r="B551" s="97"/>
      <c r="C551" s="43"/>
      <c r="G551" s="71"/>
      <c r="H551" s="71"/>
    </row>
    <row r="552">
      <c r="B552" s="97"/>
      <c r="C552" s="43"/>
      <c r="G552" s="71"/>
      <c r="H552" s="71"/>
    </row>
    <row r="553">
      <c r="B553" s="97"/>
      <c r="C553" s="43"/>
      <c r="G553" s="71"/>
      <c r="H553" s="71"/>
    </row>
    <row r="554">
      <c r="B554" s="97"/>
      <c r="C554" s="43"/>
      <c r="G554" s="71"/>
      <c r="H554" s="71"/>
    </row>
    <row r="555">
      <c r="B555" s="97"/>
      <c r="C555" s="43"/>
      <c r="G555" s="71"/>
      <c r="H555" s="71"/>
    </row>
    <row r="556">
      <c r="B556" s="97"/>
      <c r="C556" s="43"/>
      <c r="G556" s="71"/>
      <c r="H556" s="71"/>
    </row>
    <row r="557">
      <c r="B557" s="97"/>
      <c r="C557" s="43"/>
      <c r="G557" s="71"/>
      <c r="H557" s="71"/>
    </row>
    <row r="558">
      <c r="B558" s="97"/>
      <c r="C558" s="43"/>
      <c r="G558" s="71"/>
      <c r="H558" s="71"/>
    </row>
    <row r="559">
      <c r="B559" s="97"/>
      <c r="C559" s="43"/>
      <c r="G559" s="71"/>
      <c r="H559" s="71"/>
    </row>
    <row r="560">
      <c r="B560" s="97"/>
      <c r="C560" s="43"/>
      <c r="G560" s="71"/>
      <c r="H560" s="71"/>
    </row>
    <row r="561">
      <c r="B561" s="97"/>
      <c r="C561" s="43"/>
      <c r="G561" s="71"/>
      <c r="H561" s="71"/>
    </row>
    <row r="562">
      <c r="B562" s="97"/>
      <c r="C562" s="43"/>
      <c r="G562" s="71"/>
      <c r="H562" s="71"/>
    </row>
    <row r="563">
      <c r="B563" s="97"/>
      <c r="C563" s="43"/>
      <c r="G563" s="71"/>
      <c r="H563" s="71"/>
    </row>
    <row r="564">
      <c r="B564" s="97"/>
      <c r="C564" s="43"/>
      <c r="G564" s="71"/>
      <c r="H564" s="71"/>
    </row>
    <row r="565">
      <c r="B565" s="97"/>
      <c r="C565" s="43"/>
      <c r="G565" s="71"/>
      <c r="H565" s="71"/>
    </row>
    <row r="566">
      <c r="B566" s="97"/>
      <c r="C566" s="43"/>
      <c r="G566" s="71"/>
      <c r="H566" s="71"/>
    </row>
    <row r="567">
      <c r="B567" s="97"/>
      <c r="C567" s="43"/>
      <c r="G567" s="71"/>
      <c r="H567" s="71"/>
    </row>
    <row r="568">
      <c r="B568" s="97"/>
      <c r="C568" s="43"/>
      <c r="G568" s="71"/>
      <c r="H568" s="71"/>
    </row>
    <row r="569">
      <c r="B569" s="97"/>
      <c r="C569" s="43"/>
      <c r="G569" s="71"/>
      <c r="H569" s="71"/>
    </row>
    <row r="570">
      <c r="B570" s="97"/>
      <c r="C570" s="43"/>
      <c r="G570" s="71"/>
      <c r="H570" s="71"/>
    </row>
    <row r="571">
      <c r="B571" s="97"/>
      <c r="C571" s="43"/>
      <c r="G571" s="71"/>
      <c r="H571" s="71"/>
    </row>
    <row r="572">
      <c r="B572" s="97"/>
      <c r="C572" s="43"/>
      <c r="G572" s="71"/>
      <c r="H572" s="71"/>
    </row>
    <row r="573">
      <c r="B573" s="97"/>
      <c r="C573" s="43"/>
      <c r="G573" s="71"/>
      <c r="H573" s="71"/>
    </row>
    <row r="574">
      <c r="B574" s="97"/>
      <c r="C574" s="43"/>
      <c r="G574" s="71"/>
      <c r="H574" s="71"/>
    </row>
    <row r="575">
      <c r="B575" s="97"/>
      <c r="C575" s="43"/>
      <c r="G575" s="71"/>
      <c r="H575" s="71"/>
    </row>
    <row r="576">
      <c r="B576" s="97"/>
      <c r="C576" s="43"/>
      <c r="G576" s="71"/>
      <c r="H576" s="71"/>
    </row>
    <row r="577">
      <c r="B577" s="97"/>
      <c r="C577" s="43"/>
      <c r="G577" s="71"/>
      <c r="H577" s="71"/>
    </row>
    <row r="578">
      <c r="B578" s="97"/>
      <c r="C578" s="43"/>
      <c r="G578" s="71"/>
      <c r="H578" s="71"/>
    </row>
    <row r="579">
      <c r="B579" s="97"/>
      <c r="C579" s="43"/>
      <c r="G579" s="71"/>
      <c r="H579" s="71"/>
    </row>
    <row r="580">
      <c r="B580" s="97"/>
      <c r="C580" s="43"/>
      <c r="G580" s="71"/>
      <c r="H580" s="71"/>
    </row>
    <row r="581">
      <c r="B581" s="97"/>
      <c r="C581" s="43"/>
      <c r="G581" s="71"/>
      <c r="H581" s="71"/>
    </row>
    <row r="582">
      <c r="B582" s="97"/>
      <c r="C582" s="43"/>
      <c r="G582" s="71"/>
      <c r="H582" s="71"/>
    </row>
    <row r="583">
      <c r="B583" s="97"/>
      <c r="C583" s="43"/>
      <c r="G583" s="71"/>
      <c r="H583" s="71"/>
    </row>
    <row r="584">
      <c r="B584" s="97"/>
      <c r="C584" s="43"/>
      <c r="G584" s="71"/>
      <c r="H584" s="71"/>
    </row>
    <row r="585">
      <c r="B585" s="97"/>
      <c r="C585" s="43"/>
      <c r="G585" s="71"/>
      <c r="H585" s="71"/>
    </row>
    <row r="586">
      <c r="B586" s="97"/>
      <c r="C586" s="43"/>
      <c r="G586" s="71"/>
      <c r="H586" s="71"/>
    </row>
    <row r="587">
      <c r="B587" s="97"/>
      <c r="C587" s="43"/>
      <c r="G587" s="71"/>
      <c r="H587" s="71"/>
    </row>
    <row r="588">
      <c r="B588" s="97"/>
      <c r="C588" s="43"/>
      <c r="G588" s="71"/>
      <c r="H588" s="71"/>
    </row>
    <row r="589">
      <c r="B589" s="97"/>
      <c r="C589" s="43"/>
      <c r="G589" s="71"/>
      <c r="H589" s="71"/>
    </row>
    <row r="590">
      <c r="B590" s="97"/>
      <c r="C590" s="43"/>
      <c r="G590" s="71"/>
      <c r="H590" s="71"/>
    </row>
    <row r="591">
      <c r="B591" s="97"/>
      <c r="C591" s="43"/>
      <c r="G591" s="71"/>
      <c r="H591" s="71"/>
    </row>
    <row r="592">
      <c r="B592" s="97"/>
      <c r="C592" s="43"/>
      <c r="G592" s="71"/>
      <c r="H592" s="71"/>
    </row>
    <row r="593">
      <c r="B593" s="97"/>
      <c r="C593" s="43"/>
      <c r="G593" s="71"/>
      <c r="H593" s="71"/>
    </row>
    <row r="594">
      <c r="B594" s="97"/>
      <c r="C594" s="43"/>
      <c r="G594" s="71"/>
      <c r="H594" s="71"/>
    </row>
    <row r="595">
      <c r="B595" s="97"/>
      <c r="C595" s="43"/>
      <c r="G595" s="71"/>
      <c r="H595" s="71"/>
    </row>
    <row r="596">
      <c r="B596" s="97"/>
      <c r="C596" s="43"/>
      <c r="G596" s="71"/>
      <c r="H596" s="71"/>
    </row>
    <row r="597">
      <c r="B597" s="97"/>
      <c r="C597" s="43"/>
      <c r="G597" s="71"/>
      <c r="H597" s="71"/>
    </row>
    <row r="598">
      <c r="B598" s="97"/>
      <c r="C598" s="43"/>
      <c r="G598" s="71"/>
      <c r="H598" s="71"/>
    </row>
    <row r="599">
      <c r="B599" s="97"/>
      <c r="C599" s="43"/>
      <c r="G599" s="71"/>
      <c r="H599" s="71"/>
    </row>
    <row r="600">
      <c r="B600" s="97"/>
      <c r="C600" s="43"/>
      <c r="G600" s="71"/>
      <c r="H600" s="71"/>
    </row>
    <row r="601">
      <c r="B601" s="97"/>
      <c r="C601" s="43"/>
      <c r="G601" s="71"/>
      <c r="H601" s="71"/>
    </row>
    <row r="602">
      <c r="B602" s="97"/>
      <c r="C602" s="43"/>
      <c r="G602" s="71"/>
      <c r="H602" s="71"/>
    </row>
    <row r="603">
      <c r="B603" s="97"/>
      <c r="C603" s="43"/>
      <c r="G603" s="71"/>
      <c r="H603" s="71"/>
    </row>
    <row r="604">
      <c r="B604" s="97"/>
      <c r="C604" s="43"/>
      <c r="G604" s="71"/>
      <c r="H604" s="71"/>
    </row>
    <row r="605">
      <c r="B605" s="97"/>
      <c r="C605" s="43"/>
      <c r="G605" s="71"/>
      <c r="H605" s="71"/>
    </row>
    <row r="606">
      <c r="B606" s="97"/>
      <c r="C606" s="43"/>
      <c r="G606" s="71"/>
      <c r="H606" s="71"/>
    </row>
    <row r="607">
      <c r="B607" s="97"/>
      <c r="C607" s="43"/>
      <c r="G607" s="71"/>
      <c r="H607" s="71"/>
    </row>
    <row r="608">
      <c r="B608" s="97"/>
      <c r="C608" s="43"/>
      <c r="G608" s="71"/>
      <c r="H608" s="71"/>
    </row>
    <row r="609">
      <c r="B609" s="97"/>
      <c r="C609" s="43"/>
      <c r="G609" s="71"/>
      <c r="H609" s="71"/>
    </row>
    <row r="610">
      <c r="B610" s="97"/>
      <c r="C610" s="43"/>
      <c r="G610" s="71"/>
      <c r="H610" s="71"/>
    </row>
    <row r="611">
      <c r="B611" s="97"/>
      <c r="C611" s="43"/>
      <c r="G611" s="71"/>
      <c r="H611" s="71"/>
    </row>
    <row r="612">
      <c r="B612" s="97"/>
      <c r="C612" s="43"/>
      <c r="G612" s="71"/>
      <c r="H612" s="71"/>
    </row>
    <row r="613">
      <c r="B613" s="97"/>
      <c r="C613" s="43"/>
      <c r="G613" s="71"/>
      <c r="H613" s="71"/>
    </row>
    <row r="614">
      <c r="B614" s="97"/>
      <c r="C614" s="43"/>
      <c r="G614" s="71"/>
      <c r="H614" s="71"/>
    </row>
    <row r="615">
      <c r="B615" s="97"/>
      <c r="C615" s="43"/>
      <c r="G615" s="71"/>
      <c r="H615" s="71"/>
    </row>
    <row r="616">
      <c r="B616" s="97"/>
      <c r="C616" s="43"/>
      <c r="G616" s="71"/>
      <c r="H616" s="71"/>
    </row>
    <row r="617">
      <c r="B617" s="97"/>
      <c r="C617" s="43"/>
      <c r="G617" s="71"/>
      <c r="H617" s="71"/>
    </row>
    <row r="618">
      <c r="B618" s="97"/>
      <c r="C618" s="43"/>
      <c r="G618" s="71"/>
      <c r="H618" s="71"/>
    </row>
    <row r="619">
      <c r="B619" s="97"/>
      <c r="C619" s="43"/>
      <c r="G619" s="71"/>
      <c r="H619" s="71"/>
    </row>
    <row r="620">
      <c r="B620" s="97"/>
      <c r="C620" s="43"/>
      <c r="G620" s="71"/>
      <c r="H620" s="71"/>
    </row>
    <row r="621">
      <c r="B621" s="97"/>
      <c r="C621" s="43"/>
      <c r="G621" s="71"/>
      <c r="H621" s="71"/>
    </row>
    <row r="622">
      <c r="B622" s="97"/>
      <c r="C622" s="43"/>
      <c r="G622" s="71"/>
      <c r="H622" s="71"/>
    </row>
    <row r="623">
      <c r="B623" s="97"/>
      <c r="C623" s="43"/>
      <c r="G623" s="71"/>
      <c r="H623" s="71"/>
    </row>
    <row r="624">
      <c r="B624" s="97"/>
      <c r="C624" s="43"/>
      <c r="G624" s="71"/>
      <c r="H624" s="71"/>
    </row>
    <row r="625">
      <c r="B625" s="97"/>
      <c r="C625" s="43"/>
      <c r="G625" s="71"/>
      <c r="H625" s="71"/>
    </row>
    <row r="626">
      <c r="B626" s="97"/>
      <c r="C626" s="43"/>
      <c r="G626" s="71"/>
      <c r="H626" s="71"/>
    </row>
    <row r="627">
      <c r="B627" s="97"/>
      <c r="C627" s="43"/>
      <c r="G627" s="71"/>
      <c r="H627" s="71"/>
    </row>
    <row r="628">
      <c r="B628" s="97"/>
      <c r="C628" s="43"/>
      <c r="G628" s="71"/>
      <c r="H628" s="71"/>
    </row>
    <row r="629">
      <c r="B629" s="97"/>
      <c r="C629" s="43"/>
      <c r="G629" s="71"/>
      <c r="H629" s="71"/>
    </row>
    <row r="630">
      <c r="B630" s="97"/>
      <c r="C630" s="43"/>
      <c r="G630" s="71"/>
      <c r="H630" s="71"/>
    </row>
    <row r="631">
      <c r="B631" s="97"/>
      <c r="C631" s="43"/>
      <c r="G631" s="71"/>
      <c r="H631" s="71"/>
    </row>
    <row r="632">
      <c r="B632" s="97"/>
      <c r="C632" s="43"/>
      <c r="G632" s="71"/>
      <c r="H632" s="71"/>
    </row>
    <row r="633">
      <c r="B633" s="97"/>
      <c r="C633" s="43"/>
      <c r="G633" s="71"/>
      <c r="H633" s="71"/>
    </row>
    <row r="634">
      <c r="B634" s="97"/>
      <c r="C634" s="43"/>
      <c r="G634" s="71"/>
      <c r="H634" s="71"/>
    </row>
    <row r="635">
      <c r="B635" s="97"/>
      <c r="C635" s="43"/>
      <c r="G635" s="71"/>
      <c r="H635" s="71"/>
    </row>
    <row r="636">
      <c r="B636" s="97"/>
      <c r="C636" s="43"/>
      <c r="G636" s="71"/>
      <c r="H636" s="71"/>
    </row>
    <row r="637">
      <c r="B637" s="97"/>
      <c r="C637" s="43"/>
      <c r="G637" s="71"/>
      <c r="H637" s="71"/>
    </row>
    <row r="638">
      <c r="B638" s="97"/>
      <c r="C638" s="43"/>
      <c r="G638" s="71"/>
      <c r="H638" s="71"/>
    </row>
    <row r="639">
      <c r="B639" s="97"/>
      <c r="C639" s="43"/>
      <c r="G639" s="71"/>
      <c r="H639" s="71"/>
    </row>
    <row r="640">
      <c r="B640" s="97"/>
      <c r="C640" s="43"/>
      <c r="G640" s="71"/>
      <c r="H640" s="71"/>
    </row>
    <row r="641">
      <c r="B641" s="97"/>
      <c r="C641" s="43"/>
      <c r="G641" s="71"/>
      <c r="H641" s="71"/>
    </row>
    <row r="642">
      <c r="B642" s="97"/>
      <c r="C642" s="43"/>
      <c r="G642" s="71"/>
      <c r="H642" s="71"/>
    </row>
    <row r="643">
      <c r="B643" s="97"/>
      <c r="C643" s="43"/>
      <c r="G643" s="71"/>
      <c r="H643" s="71"/>
    </row>
    <row r="644">
      <c r="B644" s="97"/>
      <c r="C644" s="43"/>
      <c r="G644" s="71"/>
      <c r="H644" s="71"/>
    </row>
    <row r="645">
      <c r="B645" s="97"/>
      <c r="C645" s="43"/>
      <c r="G645" s="71"/>
      <c r="H645" s="71"/>
    </row>
    <row r="646">
      <c r="B646" s="97"/>
      <c r="C646" s="43"/>
      <c r="G646" s="71"/>
      <c r="H646" s="71"/>
    </row>
    <row r="647">
      <c r="B647" s="97"/>
      <c r="C647" s="43"/>
      <c r="G647" s="71"/>
      <c r="H647" s="71"/>
    </row>
    <row r="648">
      <c r="B648" s="97"/>
      <c r="C648" s="43"/>
      <c r="G648" s="71"/>
      <c r="H648" s="71"/>
    </row>
    <row r="649">
      <c r="B649" s="97"/>
      <c r="C649" s="43"/>
      <c r="G649" s="71"/>
      <c r="H649" s="71"/>
    </row>
    <row r="650">
      <c r="B650" s="97"/>
      <c r="C650" s="43"/>
      <c r="G650" s="71"/>
      <c r="H650" s="71"/>
    </row>
    <row r="651">
      <c r="B651" s="97"/>
      <c r="C651" s="43"/>
      <c r="G651" s="71"/>
      <c r="H651" s="71"/>
    </row>
    <row r="652">
      <c r="B652" s="97"/>
      <c r="C652" s="43"/>
      <c r="G652" s="71"/>
      <c r="H652" s="71"/>
    </row>
    <row r="653">
      <c r="B653" s="97"/>
      <c r="C653" s="43"/>
      <c r="G653" s="71"/>
      <c r="H653" s="71"/>
    </row>
    <row r="654">
      <c r="B654" s="97"/>
      <c r="C654" s="43"/>
      <c r="G654" s="71"/>
      <c r="H654" s="71"/>
    </row>
    <row r="655">
      <c r="B655" s="97"/>
      <c r="C655" s="43"/>
      <c r="G655" s="71"/>
      <c r="H655" s="71"/>
    </row>
    <row r="656">
      <c r="B656" s="97"/>
      <c r="C656" s="43"/>
      <c r="G656" s="71"/>
      <c r="H656" s="71"/>
    </row>
    <row r="657">
      <c r="B657" s="97"/>
      <c r="C657" s="43"/>
      <c r="G657" s="71"/>
      <c r="H657" s="71"/>
    </row>
    <row r="658">
      <c r="B658" s="97"/>
      <c r="C658" s="43"/>
      <c r="G658" s="71"/>
      <c r="H658" s="71"/>
    </row>
    <row r="659">
      <c r="B659" s="97"/>
      <c r="C659" s="43"/>
      <c r="G659" s="71"/>
      <c r="H659" s="71"/>
    </row>
    <row r="660">
      <c r="B660" s="97"/>
      <c r="C660" s="43"/>
      <c r="G660" s="71"/>
      <c r="H660" s="71"/>
    </row>
    <row r="661">
      <c r="B661" s="97"/>
      <c r="C661" s="43"/>
      <c r="G661" s="71"/>
      <c r="H661" s="71"/>
    </row>
    <row r="662">
      <c r="B662" s="97"/>
      <c r="C662" s="43"/>
      <c r="G662" s="71"/>
      <c r="H662" s="71"/>
    </row>
    <row r="663">
      <c r="B663" s="97"/>
      <c r="C663" s="43"/>
      <c r="G663" s="71"/>
      <c r="H663" s="71"/>
    </row>
    <row r="664">
      <c r="B664" s="97"/>
      <c r="C664" s="43"/>
      <c r="G664" s="71"/>
      <c r="H664" s="71"/>
    </row>
    <row r="665">
      <c r="B665" s="97"/>
      <c r="C665" s="43"/>
      <c r="G665" s="71"/>
      <c r="H665" s="71"/>
    </row>
    <row r="666">
      <c r="B666" s="97"/>
      <c r="C666" s="43"/>
      <c r="G666" s="71"/>
      <c r="H666" s="71"/>
    </row>
    <row r="667">
      <c r="B667" s="97"/>
      <c r="C667" s="43"/>
      <c r="G667" s="71"/>
      <c r="H667" s="71"/>
    </row>
    <row r="668">
      <c r="B668" s="97"/>
      <c r="C668" s="43"/>
      <c r="G668" s="71"/>
      <c r="H668" s="71"/>
    </row>
    <row r="669">
      <c r="B669" s="97"/>
      <c r="C669" s="43"/>
      <c r="G669" s="71"/>
      <c r="H669" s="71"/>
    </row>
    <row r="670">
      <c r="B670" s="97"/>
      <c r="C670" s="43"/>
      <c r="G670" s="71"/>
      <c r="H670" s="71"/>
    </row>
    <row r="671">
      <c r="B671" s="97"/>
      <c r="C671" s="43"/>
      <c r="G671" s="71"/>
      <c r="H671" s="71"/>
    </row>
    <row r="672">
      <c r="B672" s="97"/>
      <c r="C672" s="43"/>
      <c r="G672" s="71"/>
      <c r="H672" s="71"/>
    </row>
    <row r="673">
      <c r="B673" s="97"/>
      <c r="C673" s="43"/>
      <c r="G673" s="71"/>
      <c r="H673" s="71"/>
    </row>
    <row r="674">
      <c r="B674" s="97"/>
      <c r="C674" s="43"/>
      <c r="G674" s="71"/>
      <c r="H674" s="71"/>
    </row>
    <row r="675">
      <c r="B675" s="97"/>
      <c r="C675" s="43"/>
      <c r="G675" s="71"/>
      <c r="H675" s="71"/>
    </row>
    <row r="676">
      <c r="B676" s="97"/>
      <c r="C676" s="43"/>
      <c r="G676" s="71"/>
      <c r="H676" s="71"/>
    </row>
    <row r="677">
      <c r="B677" s="97"/>
      <c r="C677" s="43"/>
      <c r="G677" s="71"/>
      <c r="H677" s="71"/>
    </row>
    <row r="678">
      <c r="B678" s="97"/>
      <c r="C678" s="43"/>
      <c r="G678" s="71"/>
      <c r="H678" s="71"/>
    </row>
    <row r="679">
      <c r="B679" s="97"/>
      <c r="C679" s="43"/>
      <c r="G679" s="71"/>
      <c r="H679" s="71"/>
    </row>
    <row r="680">
      <c r="B680" s="97"/>
      <c r="C680" s="43"/>
      <c r="G680" s="71"/>
      <c r="H680" s="71"/>
    </row>
    <row r="681">
      <c r="B681" s="97"/>
      <c r="C681" s="43"/>
      <c r="G681" s="71"/>
      <c r="H681" s="71"/>
    </row>
    <row r="682">
      <c r="B682" s="97"/>
      <c r="C682" s="43"/>
      <c r="G682" s="71"/>
      <c r="H682" s="71"/>
    </row>
    <row r="683">
      <c r="B683" s="97"/>
      <c r="C683" s="43"/>
      <c r="G683" s="71"/>
      <c r="H683" s="71"/>
    </row>
    <row r="684">
      <c r="B684" s="97"/>
      <c r="C684" s="43"/>
      <c r="G684" s="71"/>
      <c r="H684" s="71"/>
    </row>
    <row r="685">
      <c r="B685" s="97"/>
      <c r="C685" s="43"/>
      <c r="G685" s="71"/>
      <c r="H685" s="71"/>
    </row>
    <row r="686">
      <c r="B686" s="97"/>
      <c r="C686" s="43"/>
      <c r="G686" s="71"/>
      <c r="H686" s="71"/>
    </row>
    <row r="687">
      <c r="B687" s="97"/>
      <c r="C687" s="43"/>
      <c r="G687" s="71"/>
      <c r="H687" s="71"/>
    </row>
    <row r="688">
      <c r="B688" s="97"/>
      <c r="C688" s="43"/>
      <c r="G688" s="71"/>
      <c r="H688" s="71"/>
    </row>
    <row r="689">
      <c r="B689" s="97"/>
      <c r="C689" s="43"/>
      <c r="G689" s="71"/>
      <c r="H689" s="71"/>
    </row>
    <row r="690">
      <c r="B690" s="97"/>
      <c r="C690" s="43"/>
      <c r="G690" s="71"/>
      <c r="H690" s="71"/>
    </row>
    <row r="691">
      <c r="B691" s="97"/>
      <c r="C691" s="43"/>
      <c r="G691" s="71"/>
      <c r="H691" s="71"/>
    </row>
    <row r="692">
      <c r="B692" s="97"/>
      <c r="C692" s="43"/>
      <c r="G692" s="71"/>
      <c r="H692" s="71"/>
    </row>
    <row r="693">
      <c r="B693" s="97"/>
      <c r="C693" s="43"/>
      <c r="G693" s="71"/>
      <c r="H693" s="71"/>
    </row>
    <row r="694">
      <c r="B694" s="97"/>
      <c r="C694" s="43"/>
      <c r="G694" s="71"/>
      <c r="H694" s="71"/>
    </row>
    <row r="695">
      <c r="B695" s="97"/>
      <c r="C695" s="43"/>
      <c r="G695" s="71"/>
      <c r="H695" s="71"/>
    </row>
    <row r="696">
      <c r="B696" s="97"/>
      <c r="C696" s="43"/>
      <c r="G696" s="71"/>
      <c r="H696" s="71"/>
    </row>
    <row r="697">
      <c r="B697" s="97"/>
      <c r="C697" s="43"/>
      <c r="G697" s="71"/>
      <c r="H697" s="71"/>
    </row>
    <row r="698">
      <c r="B698" s="97"/>
      <c r="C698" s="43"/>
      <c r="G698" s="71"/>
      <c r="H698" s="71"/>
    </row>
    <row r="699">
      <c r="B699" s="97"/>
      <c r="C699" s="43"/>
      <c r="G699" s="71"/>
      <c r="H699" s="71"/>
    </row>
    <row r="700">
      <c r="B700" s="97"/>
      <c r="C700" s="43"/>
      <c r="G700" s="71"/>
      <c r="H700" s="71"/>
    </row>
    <row r="701">
      <c r="B701" s="97"/>
      <c r="C701" s="43"/>
      <c r="G701" s="71"/>
      <c r="H701" s="71"/>
    </row>
    <row r="702">
      <c r="B702" s="97"/>
      <c r="C702" s="43"/>
      <c r="G702" s="71"/>
      <c r="H702" s="71"/>
    </row>
    <row r="703">
      <c r="B703" s="97"/>
      <c r="C703" s="43"/>
      <c r="G703" s="71"/>
      <c r="H703" s="71"/>
    </row>
    <row r="704">
      <c r="B704" s="97"/>
      <c r="C704" s="43"/>
      <c r="G704" s="71"/>
      <c r="H704" s="71"/>
    </row>
    <row r="705">
      <c r="B705" s="97"/>
      <c r="C705" s="43"/>
      <c r="G705" s="71"/>
      <c r="H705" s="71"/>
    </row>
    <row r="706">
      <c r="B706" s="97"/>
      <c r="C706" s="43"/>
      <c r="G706" s="71"/>
      <c r="H706" s="71"/>
    </row>
    <row r="707">
      <c r="B707" s="97"/>
      <c r="C707" s="43"/>
      <c r="G707" s="71"/>
      <c r="H707" s="71"/>
    </row>
    <row r="708">
      <c r="B708" s="97"/>
      <c r="C708" s="43"/>
      <c r="G708" s="71"/>
      <c r="H708" s="71"/>
    </row>
    <row r="709">
      <c r="B709" s="97"/>
      <c r="C709" s="43"/>
      <c r="G709" s="71"/>
      <c r="H709" s="71"/>
    </row>
    <row r="710">
      <c r="B710" s="97"/>
      <c r="C710" s="43"/>
      <c r="G710" s="71"/>
      <c r="H710" s="71"/>
    </row>
    <row r="711">
      <c r="B711" s="97"/>
      <c r="C711" s="43"/>
      <c r="G711" s="71"/>
      <c r="H711" s="71"/>
    </row>
    <row r="712">
      <c r="B712" s="97"/>
      <c r="C712" s="43"/>
      <c r="G712" s="71"/>
      <c r="H712" s="71"/>
    </row>
    <row r="713">
      <c r="B713" s="97"/>
      <c r="C713" s="43"/>
      <c r="G713" s="71"/>
      <c r="H713" s="71"/>
    </row>
    <row r="714">
      <c r="B714" s="97"/>
      <c r="C714" s="43"/>
      <c r="G714" s="71"/>
      <c r="H714" s="71"/>
    </row>
    <row r="715">
      <c r="B715" s="97"/>
      <c r="C715" s="43"/>
      <c r="G715" s="71"/>
      <c r="H715" s="71"/>
    </row>
    <row r="716">
      <c r="B716" s="97"/>
      <c r="C716" s="43"/>
      <c r="G716" s="71"/>
      <c r="H716" s="71"/>
    </row>
    <row r="717">
      <c r="B717" s="97"/>
      <c r="C717" s="43"/>
      <c r="G717" s="71"/>
      <c r="H717" s="71"/>
    </row>
    <row r="718">
      <c r="B718" s="97"/>
      <c r="C718" s="43"/>
      <c r="G718" s="71"/>
      <c r="H718" s="71"/>
    </row>
    <row r="719">
      <c r="B719" s="97"/>
      <c r="C719" s="43"/>
      <c r="G719" s="71"/>
      <c r="H719" s="71"/>
    </row>
    <row r="720">
      <c r="B720" s="97"/>
      <c r="C720" s="43"/>
      <c r="G720" s="71"/>
      <c r="H720" s="71"/>
    </row>
    <row r="721">
      <c r="B721" s="97"/>
      <c r="C721" s="43"/>
      <c r="G721" s="71"/>
      <c r="H721" s="71"/>
    </row>
    <row r="722">
      <c r="B722" s="97"/>
      <c r="C722" s="43"/>
      <c r="G722" s="71"/>
      <c r="H722" s="71"/>
    </row>
    <row r="723">
      <c r="B723" s="97"/>
      <c r="C723" s="43"/>
      <c r="G723" s="71"/>
      <c r="H723" s="71"/>
    </row>
    <row r="724">
      <c r="B724" s="97"/>
      <c r="C724" s="43"/>
      <c r="G724" s="71"/>
      <c r="H724" s="71"/>
    </row>
    <row r="725">
      <c r="B725" s="97"/>
      <c r="C725" s="43"/>
      <c r="G725" s="71"/>
      <c r="H725" s="71"/>
    </row>
    <row r="726">
      <c r="B726" s="97"/>
      <c r="C726" s="43"/>
      <c r="G726" s="71"/>
      <c r="H726" s="71"/>
    </row>
    <row r="727">
      <c r="B727" s="97"/>
      <c r="C727" s="43"/>
      <c r="G727" s="71"/>
      <c r="H727" s="71"/>
    </row>
    <row r="728">
      <c r="B728" s="97"/>
      <c r="C728" s="43"/>
      <c r="G728" s="71"/>
      <c r="H728" s="71"/>
    </row>
    <row r="729">
      <c r="B729" s="97"/>
      <c r="C729" s="43"/>
      <c r="G729" s="71"/>
      <c r="H729" s="71"/>
    </row>
    <row r="730">
      <c r="B730" s="97"/>
      <c r="C730" s="43"/>
      <c r="G730" s="71"/>
      <c r="H730" s="71"/>
    </row>
    <row r="731">
      <c r="B731" s="97"/>
      <c r="C731" s="43"/>
      <c r="G731" s="71"/>
      <c r="H731" s="71"/>
    </row>
    <row r="732">
      <c r="B732" s="97"/>
      <c r="C732" s="43"/>
      <c r="G732" s="71"/>
      <c r="H732" s="71"/>
    </row>
    <row r="733">
      <c r="B733" s="97"/>
      <c r="C733" s="43"/>
      <c r="G733" s="71"/>
      <c r="H733" s="71"/>
    </row>
    <row r="734">
      <c r="B734" s="97"/>
      <c r="C734" s="43"/>
      <c r="G734" s="71"/>
      <c r="H734" s="71"/>
    </row>
    <row r="735">
      <c r="B735" s="97"/>
      <c r="C735" s="43"/>
      <c r="G735" s="71"/>
      <c r="H735" s="71"/>
    </row>
    <row r="736">
      <c r="B736" s="97"/>
      <c r="C736" s="43"/>
      <c r="G736" s="71"/>
      <c r="H736" s="71"/>
    </row>
    <row r="737">
      <c r="B737" s="97"/>
      <c r="C737" s="43"/>
      <c r="G737" s="71"/>
      <c r="H737" s="71"/>
    </row>
    <row r="738">
      <c r="B738" s="97"/>
      <c r="C738" s="43"/>
      <c r="G738" s="71"/>
      <c r="H738" s="71"/>
    </row>
    <row r="739">
      <c r="B739" s="97"/>
      <c r="C739" s="43"/>
      <c r="G739" s="71"/>
      <c r="H739" s="71"/>
    </row>
    <row r="740">
      <c r="B740" s="97"/>
      <c r="C740" s="43"/>
      <c r="G740" s="71"/>
      <c r="H740" s="71"/>
    </row>
    <row r="741">
      <c r="B741" s="97"/>
      <c r="C741" s="43"/>
      <c r="G741" s="71"/>
      <c r="H741" s="71"/>
    </row>
    <row r="742">
      <c r="B742" s="97"/>
      <c r="C742" s="43"/>
      <c r="G742" s="71"/>
      <c r="H742" s="71"/>
    </row>
    <row r="743">
      <c r="B743" s="97"/>
      <c r="C743" s="43"/>
      <c r="G743" s="71"/>
      <c r="H743" s="71"/>
    </row>
    <row r="744">
      <c r="B744" s="97"/>
      <c r="C744" s="43"/>
      <c r="G744" s="71"/>
      <c r="H744" s="71"/>
    </row>
    <row r="745">
      <c r="B745" s="97"/>
      <c r="C745" s="43"/>
      <c r="G745" s="71"/>
      <c r="H745" s="71"/>
    </row>
    <row r="746">
      <c r="B746" s="97"/>
      <c r="C746" s="43"/>
      <c r="G746" s="71"/>
      <c r="H746" s="71"/>
    </row>
    <row r="747">
      <c r="B747" s="97"/>
      <c r="C747" s="43"/>
      <c r="G747" s="71"/>
      <c r="H747" s="71"/>
    </row>
    <row r="748">
      <c r="B748" s="97"/>
      <c r="C748" s="43"/>
      <c r="G748" s="71"/>
      <c r="H748" s="71"/>
    </row>
    <row r="749">
      <c r="B749" s="97"/>
      <c r="C749" s="43"/>
      <c r="G749" s="71"/>
      <c r="H749" s="71"/>
    </row>
    <row r="750">
      <c r="B750" s="97"/>
      <c r="C750" s="43"/>
      <c r="G750" s="71"/>
      <c r="H750" s="71"/>
    </row>
    <row r="751">
      <c r="B751" s="97"/>
      <c r="C751" s="43"/>
      <c r="G751" s="71"/>
      <c r="H751" s="71"/>
    </row>
    <row r="752">
      <c r="B752" s="97"/>
      <c r="C752" s="43"/>
      <c r="G752" s="71"/>
      <c r="H752" s="71"/>
    </row>
    <row r="753">
      <c r="B753" s="97"/>
      <c r="C753" s="43"/>
      <c r="G753" s="71"/>
      <c r="H753" s="71"/>
    </row>
    <row r="754">
      <c r="B754" s="97"/>
      <c r="C754" s="43"/>
      <c r="G754" s="71"/>
      <c r="H754" s="71"/>
    </row>
    <row r="755">
      <c r="B755" s="97"/>
      <c r="C755" s="43"/>
      <c r="G755" s="71"/>
      <c r="H755" s="71"/>
    </row>
    <row r="756">
      <c r="B756" s="97"/>
      <c r="C756" s="43"/>
      <c r="G756" s="71"/>
      <c r="H756" s="71"/>
    </row>
    <row r="757">
      <c r="B757" s="97"/>
      <c r="C757" s="43"/>
      <c r="G757" s="71"/>
      <c r="H757" s="71"/>
    </row>
    <row r="758">
      <c r="B758" s="97"/>
      <c r="C758" s="43"/>
      <c r="G758" s="71"/>
      <c r="H758" s="71"/>
    </row>
    <row r="759">
      <c r="B759" s="97"/>
      <c r="C759" s="43"/>
      <c r="G759" s="71"/>
      <c r="H759" s="71"/>
    </row>
    <row r="760">
      <c r="B760" s="97"/>
      <c r="C760" s="43"/>
      <c r="G760" s="71"/>
      <c r="H760" s="71"/>
    </row>
    <row r="761">
      <c r="B761" s="97"/>
      <c r="C761" s="43"/>
      <c r="G761" s="71"/>
      <c r="H761" s="71"/>
    </row>
    <row r="762">
      <c r="B762" s="97"/>
      <c r="C762" s="43"/>
      <c r="G762" s="71"/>
      <c r="H762" s="71"/>
    </row>
    <row r="763">
      <c r="B763" s="97"/>
      <c r="C763" s="43"/>
      <c r="G763" s="71"/>
      <c r="H763" s="71"/>
    </row>
    <row r="764">
      <c r="B764" s="97"/>
      <c r="C764" s="43"/>
      <c r="G764" s="71"/>
      <c r="H764" s="71"/>
    </row>
    <row r="765">
      <c r="B765" s="97"/>
      <c r="C765" s="43"/>
      <c r="G765" s="71"/>
      <c r="H765" s="71"/>
    </row>
    <row r="766">
      <c r="B766" s="97"/>
      <c r="C766" s="43"/>
      <c r="G766" s="71"/>
      <c r="H766" s="71"/>
    </row>
    <row r="767">
      <c r="B767" s="97"/>
      <c r="C767" s="43"/>
      <c r="G767" s="71"/>
      <c r="H767" s="71"/>
    </row>
    <row r="768">
      <c r="B768" s="97"/>
      <c r="C768" s="43"/>
      <c r="G768" s="71"/>
      <c r="H768" s="71"/>
    </row>
    <row r="769">
      <c r="B769" s="97"/>
      <c r="C769" s="43"/>
      <c r="G769" s="71"/>
      <c r="H769" s="71"/>
    </row>
    <row r="770">
      <c r="B770" s="97"/>
      <c r="C770" s="43"/>
      <c r="G770" s="71"/>
      <c r="H770" s="71"/>
    </row>
    <row r="771">
      <c r="B771" s="97"/>
      <c r="C771" s="43"/>
      <c r="G771" s="71"/>
      <c r="H771" s="71"/>
    </row>
    <row r="772">
      <c r="B772" s="97"/>
      <c r="C772" s="43"/>
      <c r="G772" s="71"/>
      <c r="H772" s="71"/>
    </row>
    <row r="773">
      <c r="B773" s="97"/>
      <c r="C773" s="43"/>
      <c r="G773" s="71"/>
      <c r="H773" s="71"/>
    </row>
    <row r="774">
      <c r="B774" s="97"/>
      <c r="C774" s="43"/>
      <c r="G774" s="71"/>
      <c r="H774" s="71"/>
    </row>
    <row r="775">
      <c r="B775" s="97"/>
      <c r="C775" s="43"/>
      <c r="G775" s="71"/>
      <c r="H775" s="71"/>
    </row>
    <row r="776">
      <c r="B776" s="97"/>
      <c r="C776" s="43"/>
      <c r="G776" s="71"/>
      <c r="H776" s="71"/>
    </row>
    <row r="777">
      <c r="B777" s="97"/>
      <c r="C777" s="43"/>
      <c r="G777" s="71"/>
      <c r="H777" s="71"/>
    </row>
    <row r="778">
      <c r="B778" s="97"/>
      <c r="C778" s="43"/>
      <c r="G778" s="71"/>
      <c r="H778" s="71"/>
    </row>
    <row r="779">
      <c r="B779" s="97"/>
      <c r="C779" s="43"/>
      <c r="G779" s="71"/>
      <c r="H779" s="71"/>
    </row>
    <row r="780">
      <c r="B780" s="97"/>
      <c r="C780" s="43"/>
      <c r="G780" s="71"/>
      <c r="H780" s="71"/>
    </row>
    <row r="781">
      <c r="B781" s="97"/>
      <c r="C781" s="43"/>
      <c r="G781" s="71"/>
      <c r="H781" s="71"/>
    </row>
    <row r="782">
      <c r="B782" s="97"/>
      <c r="C782" s="43"/>
      <c r="G782" s="71"/>
      <c r="H782" s="71"/>
    </row>
    <row r="783">
      <c r="B783" s="97"/>
      <c r="C783" s="43"/>
      <c r="G783" s="71"/>
      <c r="H783" s="71"/>
    </row>
    <row r="784">
      <c r="B784" s="97"/>
      <c r="C784" s="43"/>
      <c r="G784" s="71"/>
      <c r="H784" s="71"/>
    </row>
    <row r="785">
      <c r="B785" s="97"/>
      <c r="C785" s="43"/>
      <c r="G785" s="71"/>
      <c r="H785" s="71"/>
    </row>
    <row r="786">
      <c r="B786" s="97"/>
      <c r="C786" s="43"/>
      <c r="G786" s="71"/>
      <c r="H786" s="71"/>
    </row>
    <row r="787">
      <c r="B787" s="97"/>
      <c r="C787" s="43"/>
      <c r="G787" s="71"/>
      <c r="H787" s="71"/>
    </row>
    <row r="788">
      <c r="B788" s="97"/>
      <c r="C788" s="43"/>
      <c r="G788" s="71"/>
      <c r="H788" s="71"/>
    </row>
    <row r="789">
      <c r="B789" s="97"/>
      <c r="C789" s="43"/>
      <c r="G789" s="71"/>
      <c r="H789" s="71"/>
    </row>
    <row r="790">
      <c r="B790" s="97"/>
      <c r="C790" s="43"/>
      <c r="G790" s="71"/>
      <c r="H790" s="71"/>
    </row>
    <row r="791">
      <c r="B791" s="97"/>
      <c r="C791" s="43"/>
      <c r="G791" s="71"/>
      <c r="H791" s="71"/>
    </row>
    <row r="792">
      <c r="B792" s="97"/>
      <c r="C792" s="43"/>
      <c r="G792" s="71"/>
      <c r="H792" s="71"/>
    </row>
    <row r="793">
      <c r="B793" s="97"/>
      <c r="C793" s="43"/>
      <c r="G793" s="71"/>
      <c r="H793" s="71"/>
    </row>
    <row r="794">
      <c r="B794" s="97"/>
      <c r="C794" s="43"/>
      <c r="G794" s="71"/>
      <c r="H794" s="71"/>
    </row>
    <row r="795">
      <c r="B795" s="97"/>
      <c r="C795" s="43"/>
      <c r="G795" s="71"/>
      <c r="H795" s="71"/>
    </row>
    <row r="796">
      <c r="B796" s="97"/>
      <c r="C796" s="43"/>
      <c r="G796" s="71"/>
      <c r="H796" s="71"/>
    </row>
    <row r="797">
      <c r="B797" s="97"/>
      <c r="C797" s="43"/>
      <c r="G797" s="71"/>
      <c r="H797" s="71"/>
    </row>
    <row r="798">
      <c r="B798" s="97"/>
      <c r="C798" s="43"/>
      <c r="G798" s="71"/>
      <c r="H798" s="71"/>
    </row>
    <row r="799">
      <c r="B799" s="97"/>
      <c r="C799" s="43"/>
      <c r="G799" s="71"/>
      <c r="H799" s="71"/>
    </row>
    <row r="800">
      <c r="B800" s="97"/>
      <c r="C800" s="43"/>
      <c r="G800" s="71"/>
      <c r="H800" s="71"/>
    </row>
    <row r="801">
      <c r="B801" s="97"/>
      <c r="C801" s="43"/>
      <c r="G801" s="71"/>
      <c r="H801" s="71"/>
    </row>
    <row r="802">
      <c r="B802" s="97"/>
      <c r="C802" s="43"/>
      <c r="G802" s="71"/>
      <c r="H802" s="71"/>
    </row>
    <row r="803">
      <c r="B803" s="97"/>
      <c r="C803" s="43"/>
      <c r="G803" s="71"/>
      <c r="H803" s="71"/>
    </row>
    <row r="804">
      <c r="B804" s="97"/>
      <c r="C804" s="43"/>
      <c r="G804" s="71"/>
      <c r="H804" s="71"/>
    </row>
    <row r="805">
      <c r="B805" s="97"/>
      <c r="C805" s="43"/>
      <c r="G805" s="71"/>
      <c r="H805" s="71"/>
    </row>
    <row r="806">
      <c r="B806" s="97"/>
      <c r="C806" s="43"/>
      <c r="G806" s="71"/>
      <c r="H806" s="71"/>
    </row>
    <row r="807">
      <c r="B807" s="97"/>
      <c r="C807" s="43"/>
      <c r="G807" s="71"/>
      <c r="H807" s="71"/>
    </row>
    <row r="808">
      <c r="B808" s="97"/>
      <c r="C808" s="43"/>
      <c r="G808" s="71"/>
      <c r="H808" s="71"/>
    </row>
    <row r="809">
      <c r="B809" s="97"/>
      <c r="C809" s="43"/>
      <c r="G809" s="71"/>
      <c r="H809" s="71"/>
    </row>
    <row r="810">
      <c r="B810" s="97"/>
      <c r="C810" s="43"/>
      <c r="G810" s="71"/>
      <c r="H810" s="71"/>
    </row>
    <row r="811">
      <c r="B811" s="97"/>
      <c r="C811" s="43"/>
      <c r="G811" s="71"/>
      <c r="H811" s="71"/>
    </row>
    <row r="812">
      <c r="B812" s="97"/>
      <c r="C812" s="43"/>
      <c r="G812" s="71"/>
      <c r="H812" s="71"/>
    </row>
    <row r="813">
      <c r="B813" s="97"/>
      <c r="C813" s="43"/>
      <c r="G813" s="71"/>
      <c r="H813" s="71"/>
    </row>
    <row r="814">
      <c r="B814" s="97"/>
      <c r="C814" s="43"/>
      <c r="G814" s="71"/>
      <c r="H814" s="71"/>
    </row>
    <row r="815">
      <c r="B815" s="97"/>
      <c r="C815" s="43"/>
      <c r="G815" s="71"/>
      <c r="H815" s="71"/>
    </row>
    <row r="816">
      <c r="B816" s="97"/>
      <c r="C816" s="43"/>
      <c r="G816" s="71"/>
      <c r="H816" s="71"/>
    </row>
    <row r="817">
      <c r="B817" s="97"/>
      <c r="C817" s="43"/>
      <c r="G817" s="71"/>
      <c r="H817" s="71"/>
    </row>
    <row r="818">
      <c r="B818" s="97"/>
      <c r="C818" s="43"/>
      <c r="G818" s="71"/>
      <c r="H818" s="71"/>
    </row>
    <row r="819">
      <c r="B819" s="97"/>
      <c r="C819" s="43"/>
      <c r="G819" s="71"/>
      <c r="H819" s="71"/>
    </row>
    <row r="820">
      <c r="B820" s="97"/>
      <c r="C820" s="43"/>
      <c r="G820" s="71"/>
      <c r="H820" s="71"/>
    </row>
    <row r="821">
      <c r="B821" s="97"/>
      <c r="C821" s="43"/>
      <c r="G821" s="71"/>
      <c r="H821" s="71"/>
    </row>
    <row r="822">
      <c r="B822" s="97"/>
      <c r="C822" s="43"/>
      <c r="G822" s="71"/>
      <c r="H822" s="71"/>
    </row>
    <row r="823">
      <c r="B823" s="97"/>
      <c r="C823" s="43"/>
      <c r="G823" s="71"/>
      <c r="H823" s="71"/>
    </row>
    <row r="824">
      <c r="B824" s="97"/>
      <c r="C824" s="43"/>
      <c r="G824" s="71"/>
      <c r="H824" s="71"/>
    </row>
    <row r="825">
      <c r="B825" s="97"/>
      <c r="C825" s="43"/>
      <c r="G825" s="71"/>
      <c r="H825" s="71"/>
    </row>
    <row r="826">
      <c r="B826" s="97"/>
      <c r="C826" s="43"/>
      <c r="G826" s="71"/>
      <c r="H826" s="71"/>
    </row>
    <row r="827">
      <c r="B827" s="97"/>
      <c r="C827" s="43"/>
      <c r="G827" s="71"/>
      <c r="H827" s="71"/>
    </row>
    <row r="828">
      <c r="B828" s="97"/>
      <c r="C828" s="43"/>
      <c r="G828" s="71"/>
      <c r="H828" s="71"/>
    </row>
    <row r="829">
      <c r="B829" s="97"/>
      <c r="C829" s="43"/>
      <c r="G829" s="71"/>
      <c r="H829" s="71"/>
    </row>
    <row r="830">
      <c r="B830" s="97"/>
      <c r="C830" s="43"/>
      <c r="G830" s="71"/>
      <c r="H830" s="71"/>
    </row>
    <row r="831">
      <c r="B831" s="97"/>
      <c r="C831" s="43"/>
      <c r="G831" s="71"/>
      <c r="H831" s="71"/>
    </row>
    <row r="832">
      <c r="B832" s="97"/>
      <c r="C832" s="43"/>
      <c r="G832" s="71"/>
      <c r="H832" s="71"/>
    </row>
    <row r="833">
      <c r="B833" s="97"/>
      <c r="C833" s="43"/>
      <c r="G833" s="71"/>
      <c r="H833" s="71"/>
    </row>
    <row r="834">
      <c r="B834" s="97"/>
      <c r="C834" s="43"/>
      <c r="G834" s="71"/>
      <c r="H834" s="71"/>
    </row>
    <row r="835">
      <c r="B835" s="97"/>
      <c r="C835" s="43"/>
      <c r="G835" s="71"/>
      <c r="H835" s="71"/>
    </row>
    <row r="836">
      <c r="B836" s="97"/>
      <c r="C836" s="43"/>
      <c r="G836" s="71"/>
      <c r="H836" s="71"/>
    </row>
    <row r="837">
      <c r="B837" s="97"/>
      <c r="C837" s="43"/>
      <c r="G837" s="71"/>
      <c r="H837" s="71"/>
    </row>
    <row r="838">
      <c r="B838" s="97"/>
      <c r="C838" s="43"/>
      <c r="G838" s="71"/>
      <c r="H838" s="71"/>
    </row>
    <row r="839">
      <c r="B839" s="97"/>
      <c r="C839" s="43"/>
      <c r="G839" s="71"/>
      <c r="H839" s="71"/>
    </row>
    <row r="840">
      <c r="B840" s="97"/>
      <c r="C840" s="43"/>
      <c r="G840" s="71"/>
      <c r="H840" s="71"/>
    </row>
    <row r="841">
      <c r="B841" s="97"/>
      <c r="C841" s="43"/>
      <c r="G841" s="71"/>
      <c r="H841" s="71"/>
    </row>
    <row r="842">
      <c r="B842" s="97"/>
      <c r="C842" s="43"/>
      <c r="G842" s="71"/>
      <c r="H842" s="71"/>
    </row>
    <row r="843">
      <c r="B843" s="97"/>
      <c r="C843" s="43"/>
      <c r="G843" s="71"/>
      <c r="H843" s="71"/>
    </row>
    <row r="844">
      <c r="B844" s="97"/>
      <c r="C844" s="43"/>
      <c r="G844" s="71"/>
      <c r="H844" s="71"/>
    </row>
    <row r="845">
      <c r="B845" s="97"/>
      <c r="C845" s="43"/>
      <c r="G845" s="71"/>
      <c r="H845" s="71"/>
    </row>
    <row r="846">
      <c r="B846" s="97"/>
      <c r="C846" s="43"/>
      <c r="G846" s="71"/>
      <c r="H846" s="71"/>
    </row>
    <row r="847">
      <c r="B847" s="97"/>
      <c r="C847" s="43"/>
      <c r="G847" s="71"/>
      <c r="H847" s="71"/>
    </row>
    <row r="848">
      <c r="B848" s="97"/>
      <c r="C848" s="43"/>
      <c r="G848" s="71"/>
      <c r="H848" s="71"/>
    </row>
    <row r="849">
      <c r="B849" s="97"/>
      <c r="C849" s="43"/>
      <c r="G849" s="71"/>
      <c r="H849" s="71"/>
    </row>
    <row r="850">
      <c r="B850" s="97"/>
      <c r="C850" s="43"/>
      <c r="G850" s="71"/>
      <c r="H850" s="71"/>
    </row>
    <row r="851">
      <c r="B851" s="97"/>
      <c r="C851" s="43"/>
      <c r="G851" s="71"/>
      <c r="H851" s="71"/>
    </row>
    <row r="852">
      <c r="B852" s="97"/>
      <c r="C852" s="43"/>
      <c r="G852" s="71"/>
      <c r="H852" s="71"/>
    </row>
    <row r="853">
      <c r="B853" s="97"/>
      <c r="C853" s="43"/>
      <c r="G853" s="71"/>
      <c r="H853" s="71"/>
    </row>
    <row r="854">
      <c r="B854" s="97"/>
      <c r="C854" s="43"/>
      <c r="G854" s="71"/>
      <c r="H854" s="71"/>
    </row>
    <row r="855">
      <c r="B855" s="97"/>
      <c r="C855" s="43"/>
      <c r="G855" s="71"/>
      <c r="H855" s="71"/>
    </row>
    <row r="856">
      <c r="B856" s="97"/>
      <c r="C856" s="43"/>
      <c r="G856" s="71"/>
      <c r="H856" s="71"/>
    </row>
    <row r="857">
      <c r="B857" s="97"/>
      <c r="C857" s="43"/>
      <c r="G857" s="71"/>
      <c r="H857" s="71"/>
    </row>
    <row r="858">
      <c r="B858" s="97"/>
      <c r="C858" s="43"/>
      <c r="G858" s="71"/>
      <c r="H858" s="71"/>
    </row>
    <row r="859">
      <c r="B859" s="97"/>
      <c r="C859" s="43"/>
      <c r="G859" s="71"/>
      <c r="H859" s="71"/>
    </row>
    <row r="860">
      <c r="B860" s="97"/>
      <c r="C860" s="43"/>
      <c r="G860" s="71"/>
      <c r="H860" s="71"/>
    </row>
    <row r="861">
      <c r="B861" s="97"/>
      <c r="C861" s="43"/>
      <c r="G861" s="71"/>
      <c r="H861" s="71"/>
    </row>
    <row r="862">
      <c r="B862" s="97"/>
      <c r="C862" s="43"/>
      <c r="G862" s="71"/>
      <c r="H862" s="71"/>
    </row>
    <row r="863">
      <c r="B863" s="97"/>
      <c r="C863" s="43"/>
      <c r="G863" s="71"/>
      <c r="H863" s="71"/>
    </row>
    <row r="864">
      <c r="B864" s="97"/>
      <c r="C864" s="43"/>
      <c r="G864" s="71"/>
      <c r="H864" s="71"/>
    </row>
    <row r="865">
      <c r="B865" s="97"/>
      <c r="C865" s="43"/>
      <c r="G865" s="71"/>
      <c r="H865" s="71"/>
    </row>
    <row r="866">
      <c r="B866" s="97"/>
      <c r="C866" s="43"/>
      <c r="G866" s="71"/>
      <c r="H866" s="71"/>
    </row>
    <row r="867">
      <c r="B867" s="97"/>
      <c r="C867" s="43"/>
      <c r="G867" s="71"/>
      <c r="H867" s="71"/>
    </row>
    <row r="868">
      <c r="B868" s="97"/>
      <c r="C868" s="43"/>
      <c r="G868" s="71"/>
      <c r="H868" s="71"/>
    </row>
    <row r="869">
      <c r="B869" s="97"/>
      <c r="C869" s="43"/>
      <c r="G869" s="71"/>
      <c r="H869" s="71"/>
    </row>
    <row r="870">
      <c r="B870" s="97"/>
      <c r="C870" s="43"/>
      <c r="G870" s="71"/>
      <c r="H870" s="71"/>
    </row>
    <row r="871">
      <c r="B871" s="97"/>
      <c r="C871" s="43"/>
      <c r="G871" s="71"/>
      <c r="H871" s="71"/>
    </row>
    <row r="872">
      <c r="B872" s="97"/>
      <c r="C872" s="43"/>
      <c r="G872" s="71"/>
      <c r="H872" s="71"/>
    </row>
    <row r="873">
      <c r="B873" s="97"/>
      <c r="C873" s="43"/>
      <c r="G873" s="71"/>
      <c r="H873" s="71"/>
    </row>
    <row r="874">
      <c r="B874" s="97"/>
      <c r="C874" s="43"/>
      <c r="G874" s="71"/>
      <c r="H874" s="71"/>
    </row>
    <row r="875">
      <c r="B875" s="97"/>
      <c r="C875" s="43"/>
      <c r="G875" s="71"/>
      <c r="H875" s="71"/>
    </row>
    <row r="876">
      <c r="B876" s="97"/>
      <c r="C876" s="43"/>
      <c r="G876" s="71"/>
      <c r="H876" s="71"/>
    </row>
    <row r="877">
      <c r="B877" s="97"/>
      <c r="C877" s="43"/>
      <c r="G877" s="71"/>
      <c r="H877" s="71"/>
    </row>
    <row r="878">
      <c r="B878" s="97"/>
      <c r="C878" s="43"/>
      <c r="G878" s="71"/>
      <c r="H878" s="71"/>
    </row>
    <row r="879">
      <c r="B879" s="97"/>
      <c r="C879" s="43"/>
      <c r="G879" s="71"/>
      <c r="H879" s="71"/>
    </row>
    <row r="880">
      <c r="B880" s="97"/>
      <c r="C880" s="43"/>
      <c r="G880" s="71"/>
      <c r="H880" s="71"/>
    </row>
    <row r="881">
      <c r="B881" s="97"/>
      <c r="C881" s="43"/>
      <c r="G881" s="71"/>
      <c r="H881" s="71"/>
    </row>
    <row r="882">
      <c r="B882" s="97"/>
      <c r="C882" s="43"/>
      <c r="G882" s="71"/>
      <c r="H882" s="71"/>
    </row>
    <row r="883">
      <c r="B883" s="97"/>
      <c r="C883" s="43"/>
      <c r="G883" s="71"/>
      <c r="H883" s="71"/>
    </row>
    <row r="884">
      <c r="B884" s="97"/>
      <c r="C884" s="43"/>
      <c r="G884" s="71"/>
      <c r="H884" s="71"/>
    </row>
    <row r="885">
      <c r="B885" s="97"/>
      <c r="C885" s="43"/>
      <c r="G885" s="71"/>
      <c r="H885" s="71"/>
    </row>
    <row r="886">
      <c r="B886" s="97"/>
      <c r="C886" s="43"/>
      <c r="G886" s="71"/>
      <c r="H886" s="71"/>
    </row>
    <row r="887">
      <c r="B887" s="97"/>
      <c r="C887" s="43"/>
      <c r="G887" s="71"/>
      <c r="H887" s="71"/>
    </row>
    <row r="888">
      <c r="B888" s="97"/>
      <c r="C888" s="43"/>
      <c r="G888" s="71"/>
      <c r="H888" s="71"/>
    </row>
    <row r="889">
      <c r="B889" s="97"/>
      <c r="C889" s="43"/>
      <c r="G889" s="71"/>
      <c r="H889" s="71"/>
    </row>
    <row r="890">
      <c r="B890" s="97"/>
      <c r="C890" s="43"/>
      <c r="G890" s="71"/>
      <c r="H890" s="71"/>
    </row>
    <row r="891">
      <c r="B891" s="97"/>
      <c r="C891" s="43"/>
      <c r="G891" s="71"/>
      <c r="H891" s="71"/>
    </row>
    <row r="892">
      <c r="B892" s="97"/>
      <c r="C892" s="43"/>
      <c r="G892" s="71"/>
      <c r="H892" s="71"/>
    </row>
    <row r="893">
      <c r="B893" s="97"/>
      <c r="C893" s="43"/>
      <c r="G893" s="71"/>
      <c r="H893" s="71"/>
    </row>
    <row r="894">
      <c r="B894" s="97"/>
      <c r="C894" s="43"/>
      <c r="G894" s="71"/>
      <c r="H894" s="71"/>
    </row>
    <row r="895">
      <c r="B895" s="97"/>
      <c r="C895" s="43"/>
      <c r="G895" s="71"/>
      <c r="H895" s="71"/>
    </row>
    <row r="896">
      <c r="B896" s="97"/>
      <c r="C896" s="43"/>
      <c r="G896" s="71"/>
      <c r="H896" s="71"/>
    </row>
    <row r="897">
      <c r="B897" s="97"/>
      <c r="C897" s="43"/>
      <c r="G897" s="71"/>
      <c r="H897" s="71"/>
    </row>
    <row r="898">
      <c r="B898" s="97"/>
      <c r="C898" s="43"/>
      <c r="G898" s="71"/>
      <c r="H898" s="71"/>
    </row>
    <row r="899">
      <c r="B899" s="97"/>
      <c r="C899" s="43"/>
      <c r="G899" s="71"/>
      <c r="H899" s="71"/>
    </row>
    <row r="900">
      <c r="B900" s="97"/>
      <c r="C900" s="43"/>
      <c r="G900" s="71"/>
      <c r="H900" s="71"/>
    </row>
    <row r="901">
      <c r="B901" s="97"/>
      <c r="C901" s="43"/>
      <c r="G901" s="71"/>
      <c r="H901" s="71"/>
    </row>
    <row r="902">
      <c r="B902" s="97"/>
      <c r="C902" s="43"/>
      <c r="G902" s="71"/>
      <c r="H902" s="71"/>
    </row>
    <row r="903">
      <c r="B903" s="97"/>
      <c r="C903" s="43"/>
      <c r="G903" s="71"/>
      <c r="H903" s="71"/>
    </row>
    <row r="904">
      <c r="B904" s="97"/>
      <c r="C904" s="43"/>
      <c r="G904" s="71"/>
      <c r="H904" s="71"/>
    </row>
    <row r="905">
      <c r="B905" s="97"/>
      <c r="C905" s="43"/>
      <c r="G905" s="71"/>
      <c r="H905" s="71"/>
    </row>
    <row r="906">
      <c r="B906" s="97"/>
      <c r="C906" s="43"/>
      <c r="G906" s="71"/>
      <c r="H906" s="71"/>
    </row>
    <row r="907">
      <c r="B907" s="97"/>
      <c r="C907" s="43"/>
      <c r="G907" s="71"/>
      <c r="H907" s="71"/>
    </row>
    <row r="908">
      <c r="B908" s="97"/>
      <c r="C908" s="43"/>
      <c r="G908" s="71"/>
      <c r="H908" s="71"/>
    </row>
    <row r="909">
      <c r="B909" s="97"/>
      <c r="C909" s="43"/>
      <c r="G909" s="71"/>
      <c r="H909" s="71"/>
    </row>
    <row r="910">
      <c r="B910" s="97"/>
      <c r="C910" s="43"/>
      <c r="G910" s="71"/>
      <c r="H910" s="71"/>
    </row>
    <row r="911">
      <c r="B911" s="97"/>
      <c r="C911" s="43"/>
      <c r="G911" s="71"/>
      <c r="H911" s="71"/>
    </row>
    <row r="912">
      <c r="B912" s="97"/>
      <c r="C912" s="43"/>
      <c r="G912" s="71"/>
      <c r="H912" s="71"/>
    </row>
    <row r="913">
      <c r="B913" s="97"/>
      <c r="C913" s="43"/>
      <c r="G913" s="71"/>
      <c r="H913" s="71"/>
    </row>
    <row r="914">
      <c r="B914" s="97"/>
      <c r="C914" s="43"/>
      <c r="G914" s="71"/>
      <c r="H914" s="71"/>
    </row>
    <row r="915">
      <c r="B915" s="97"/>
      <c r="C915" s="43"/>
      <c r="G915" s="71"/>
      <c r="H915" s="71"/>
    </row>
    <row r="916">
      <c r="B916" s="97"/>
      <c r="C916" s="43"/>
      <c r="G916" s="71"/>
      <c r="H916" s="71"/>
    </row>
    <row r="917">
      <c r="B917" s="97"/>
      <c r="C917" s="43"/>
      <c r="G917" s="71"/>
      <c r="H917" s="71"/>
    </row>
    <row r="918">
      <c r="B918" s="97"/>
      <c r="C918" s="43"/>
      <c r="G918" s="71"/>
      <c r="H918" s="71"/>
    </row>
    <row r="919">
      <c r="B919" s="97"/>
      <c r="C919" s="43"/>
      <c r="G919" s="71"/>
      <c r="H919" s="71"/>
    </row>
    <row r="920">
      <c r="B920" s="97"/>
      <c r="C920" s="43"/>
      <c r="G920" s="71"/>
      <c r="H920" s="71"/>
    </row>
    <row r="921">
      <c r="B921" s="97"/>
      <c r="C921" s="43"/>
      <c r="G921" s="71"/>
      <c r="H921" s="71"/>
    </row>
    <row r="922">
      <c r="B922" s="97"/>
      <c r="C922" s="43"/>
      <c r="G922" s="71"/>
      <c r="H922" s="71"/>
    </row>
    <row r="923">
      <c r="B923" s="97"/>
      <c r="C923" s="43"/>
      <c r="G923" s="71"/>
      <c r="H923" s="71"/>
    </row>
    <row r="924">
      <c r="B924" s="97"/>
      <c r="C924" s="43"/>
      <c r="G924" s="71"/>
      <c r="H924" s="71"/>
    </row>
    <row r="925">
      <c r="B925" s="97"/>
      <c r="C925" s="43"/>
      <c r="G925" s="71"/>
      <c r="H925" s="71"/>
    </row>
    <row r="926">
      <c r="B926" s="97"/>
      <c r="C926" s="43"/>
      <c r="G926" s="71"/>
      <c r="H926" s="71"/>
    </row>
    <row r="927">
      <c r="B927" s="97"/>
      <c r="C927" s="43"/>
      <c r="G927" s="71"/>
      <c r="H927" s="71"/>
    </row>
    <row r="928">
      <c r="B928" s="97"/>
      <c r="C928" s="43"/>
      <c r="G928" s="71"/>
      <c r="H928" s="71"/>
    </row>
    <row r="929">
      <c r="B929" s="97"/>
      <c r="C929" s="43"/>
      <c r="G929" s="71"/>
      <c r="H929" s="71"/>
    </row>
    <row r="930">
      <c r="B930" s="97"/>
      <c r="C930" s="43"/>
      <c r="G930" s="71"/>
      <c r="H930" s="71"/>
    </row>
    <row r="931">
      <c r="B931" s="97"/>
      <c r="C931" s="43"/>
      <c r="G931" s="71"/>
      <c r="H931" s="71"/>
    </row>
    <row r="932">
      <c r="B932" s="97"/>
      <c r="C932" s="43"/>
      <c r="G932" s="71"/>
      <c r="H932" s="71"/>
    </row>
    <row r="933">
      <c r="B933" s="97"/>
      <c r="C933" s="43"/>
      <c r="G933" s="71"/>
      <c r="H933" s="71"/>
    </row>
    <row r="934">
      <c r="B934" s="97"/>
      <c r="C934" s="43"/>
      <c r="G934" s="71"/>
      <c r="H934" s="71"/>
    </row>
    <row r="935">
      <c r="B935" s="97"/>
      <c r="C935" s="43"/>
      <c r="G935" s="71"/>
      <c r="H935" s="71"/>
    </row>
    <row r="936">
      <c r="B936" s="97"/>
      <c r="C936" s="43"/>
      <c r="G936" s="71"/>
      <c r="H936" s="71"/>
    </row>
    <row r="937">
      <c r="B937" s="97"/>
      <c r="C937" s="43"/>
      <c r="G937" s="71"/>
      <c r="H937" s="71"/>
    </row>
    <row r="938">
      <c r="B938" s="97"/>
      <c r="C938" s="43"/>
      <c r="G938" s="71"/>
      <c r="H938" s="71"/>
    </row>
    <row r="939">
      <c r="B939" s="97"/>
      <c r="C939" s="43"/>
      <c r="G939" s="71"/>
      <c r="H939" s="71"/>
    </row>
    <row r="940">
      <c r="B940" s="97"/>
      <c r="C940" s="43"/>
      <c r="G940" s="71"/>
      <c r="H940" s="71"/>
    </row>
    <row r="941">
      <c r="B941" s="97"/>
      <c r="C941" s="43"/>
      <c r="G941" s="71"/>
      <c r="H941" s="71"/>
    </row>
    <row r="942">
      <c r="B942" s="97"/>
      <c r="C942" s="43"/>
      <c r="G942" s="71"/>
      <c r="H942" s="71"/>
    </row>
    <row r="943">
      <c r="B943" s="97"/>
      <c r="C943" s="43"/>
      <c r="G943" s="71"/>
      <c r="H943" s="71"/>
    </row>
    <row r="944">
      <c r="B944" s="97"/>
      <c r="C944" s="43"/>
      <c r="G944" s="71"/>
      <c r="H944" s="71"/>
    </row>
    <row r="945">
      <c r="B945" s="97"/>
      <c r="C945" s="43"/>
      <c r="G945" s="71"/>
      <c r="H945" s="71"/>
    </row>
    <row r="946">
      <c r="B946" s="97"/>
      <c r="C946" s="43"/>
      <c r="G946" s="71"/>
      <c r="H946" s="71"/>
    </row>
    <row r="947">
      <c r="B947" s="97"/>
      <c r="C947" s="43"/>
      <c r="G947" s="71"/>
      <c r="H947" s="71"/>
    </row>
    <row r="948">
      <c r="B948" s="97"/>
      <c r="C948" s="43"/>
      <c r="G948" s="71"/>
      <c r="H948" s="71"/>
    </row>
    <row r="949">
      <c r="B949" s="97"/>
      <c r="C949" s="43"/>
      <c r="G949" s="71"/>
      <c r="H949" s="71"/>
    </row>
    <row r="950">
      <c r="B950" s="97"/>
      <c r="C950" s="43"/>
      <c r="G950" s="71"/>
      <c r="H950" s="71"/>
    </row>
    <row r="951">
      <c r="B951" s="97"/>
      <c r="C951" s="43"/>
      <c r="G951" s="71"/>
      <c r="H951" s="71"/>
    </row>
    <row r="952">
      <c r="B952" s="97"/>
      <c r="C952" s="43"/>
      <c r="G952" s="71"/>
      <c r="H952" s="71"/>
    </row>
    <row r="953">
      <c r="B953" s="97"/>
      <c r="C953" s="43"/>
      <c r="G953" s="71"/>
      <c r="H953" s="71"/>
    </row>
    <row r="954">
      <c r="B954" s="97"/>
      <c r="C954" s="43"/>
      <c r="G954" s="71"/>
      <c r="H954" s="71"/>
    </row>
    <row r="955">
      <c r="B955" s="97"/>
      <c r="C955" s="43"/>
      <c r="G955" s="71"/>
      <c r="H955" s="71"/>
    </row>
    <row r="956">
      <c r="B956" s="97"/>
      <c r="C956" s="43"/>
      <c r="G956" s="71"/>
      <c r="H956" s="71"/>
    </row>
    <row r="957">
      <c r="B957" s="97"/>
      <c r="C957" s="43"/>
      <c r="G957" s="71"/>
      <c r="H957" s="71"/>
    </row>
    <row r="958">
      <c r="B958" s="97"/>
      <c r="C958" s="43"/>
      <c r="G958" s="71"/>
      <c r="H958" s="71"/>
    </row>
    <row r="959">
      <c r="B959" s="97"/>
      <c r="C959" s="43"/>
      <c r="G959" s="71"/>
      <c r="H959" s="71"/>
    </row>
    <row r="960">
      <c r="B960" s="97"/>
      <c r="C960" s="43"/>
      <c r="G960" s="71"/>
      <c r="H960" s="71"/>
    </row>
    <row r="961">
      <c r="B961" s="97"/>
      <c r="C961" s="43"/>
      <c r="G961" s="71"/>
      <c r="H961" s="71"/>
    </row>
    <row r="962">
      <c r="B962" s="97"/>
      <c r="C962" s="43"/>
      <c r="G962" s="71"/>
      <c r="H962" s="71"/>
    </row>
    <row r="963">
      <c r="B963" s="97"/>
      <c r="C963" s="43"/>
      <c r="G963" s="71"/>
      <c r="H963" s="71"/>
    </row>
    <row r="964">
      <c r="B964" s="97"/>
      <c r="C964" s="43"/>
      <c r="G964" s="71"/>
      <c r="H964" s="71"/>
    </row>
    <row r="965">
      <c r="B965" s="97"/>
      <c r="C965" s="43"/>
      <c r="G965" s="71"/>
      <c r="H965" s="71"/>
    </row>
    <row r="966">
      <c r="B966" s="97"/>
      <c r="C966" s="43"/>
      <c r="G966" s="71"/>
      <c r="H966" s="71"/>
    </row>
    <row r="967">
      <c r="B967" s="97"/>
      <c r="C967" s="43"/>
      <c r="G967" s="71"/>
      <c r="H967" s="71"/>
    </row>
    <row r="968">
      <c r="B968" s="97"/>
      <c r="C968" s="43"/>
      <c r="G968" s="71"/>
      <c r="H968" s="71"/>
    </row>
    <row r="969">
      <c r="B969" s="97"/>
      <c r="C969" s="43"/>
      <c r="G969" s="71"/>
      <c r="H969" s="71"/>
    </row>
    <row r="970">
      <c r="B970" s="97"/>
      <c r="C970" s="43"/>
      <c r="G970" s="71"/>
      <c r="H970" s="71"/>
    </row>
    <row r="971">
      <c r="B971" s="97"/>
      <c r="C971" s="43"/>
      <c r="G971" s="71"/>
      <c r="H971" s="71"/>
    </row>
    <row r="972">
      <c r="B972" s="97"/>
      <c r="C972" s="43"/>
      <c r="G972" s="71"/>
      <c r="H972" s="71"/>
    </row>
    <row r="973">
      <c r="B973" s="97"/>
      <c r="C973" s="43"/>
      <c r="G973" s="71"/>
      <c r="H973" s="71"/>
    </row>
    <row r="974">
      <c r="B974" s="97"/>
      <c r="C974" s="43"/>
      <c r="G974" s="71"/>
      <c r="H974" s="71"/>
    </row>
    <row r="975">
      <c r="B975" s="97"/>
      <c r="C975" s="43"/>
      <c r="G975" s="71"/>
      <c r="H975" s="71"/>
    </row>
    <row r="976">
      <c r="B976" s="97"/>
      <c r="C976" s="43"/>
      <c r="G976" s="71"/>
      <c r="H976" s="71"/>
    </row>
    <row r="977">
      <c r="B977" s="97"/>
      <c r="C977" s="43"/>
      <c r="G977" s="71"/>
      <c r="H977" s="71"/>
    </row>
    <row r="978">
      <c r="B978" s="97"/>
      <c r="C978" s="43"/>
      <c r="G978" s="71"/>
      <c r="H978" s="71"/>
    </row>
    <row r="979">
      <c r="B979" s="97"/>
      <c r="C979" s="43"/>
      <c r="G979" s="71"/>
      <c r="H979" s="71"/>
    </row>
    <row r="980">
      <c r="B980" s="97"/>
      <c r="C980" s="43"/>
      <c r="G980" s="71"/>
      <c r="H980" s="71"/>
    </row>
    <row r="981">
      <c r="B981" s="97"/>
      <c r="C981" s="43"/>
      <c r="G981" s="71"/>
      <c r="H981" s="71"/>
    </row>
    <row r="982">
      <c r="B982" s="97"/>
      <c r="C982" s="43"/>
      <c r="G982" s="71"/>
      <c r="H982" s="71"/>
    </row>
    <row r="983">
      <c r="B983" s="97"/>
      <c r="C983" s="43"/>
      <c r="G983" s="71"/>
      <c r="H983" s="71"/>
    </row>
    <row r="984">
      <c r="B984" s="97"/>
      <c r="C984" s="43"/>
      <c r="G984" s="71"/>
      <c r="H984" s="71"/>
    </row>
    <row r="985">
      <c r="B985" s="97"/>
      <c r="C985" s="43"/>
      <c r="G985" s="71"/>
      <c r="H985" s="71"/>
    </row>
    <row r="986">
      <c r="B986" s="97"/>
      <c r="C986" s="43"/>
      <c r="G986" s="71"/>
      <c r="H986" s="71"/>
    </row>
    <row r="987">
      <c r="B987" s="97"/>
      <c r="C987" s="43"/>
      <c r="G987" s="71"/>
      <c r="H987" s="71"/>
    </row>
    <row r="988">
      <c r="B988" s="97"/>
      <c r="C988" s="43"/>
      <c r="G988" s="71"/>
      <c r="H988" s="71"/>
    </row>
    <row r="989">
      <c r="B989" s="97"/>
      <c r="C989" s="43"/>
      <c r="G989" s="71"/>
      <c r="H989" s="71"/>
    </row>
    <row r="990">
      <c r="B990" s="97"/>
      <c r="C990" s="43"/>
      <c r="G990" s="71"/>
      <c r="H990" s="71"/>
    </row>
    <row r="991">
      <c r="B991" s="97"/>
      <c r="C991" s="43"/>
      <c r="G991" s="71"/>
      <c r="H991" s="71"/>
    </row>
    <row r="992">
      <c r="B992" s="97"/>
      <c r="C992" s="43"/>
      <c r="G992" s="71"/>
      <c r="H992" s="71"/>
    </row>
    <row r="993">
      <c r="B993" s="97"/>
      <c r="C993" s="43"/>
      <c r="G993" s="71"/>
      <c r="H993" s="71"/>
    </row>
    <row r="994">
      <c r="B994" s="97"/>
      <c r="C994" s="43"/>
      <c r="G994" s="71"/>
      <c r="H994" s="71"/>
    </row>
    <row r="995">
      <c r="B995" s="97"/>
      <c r="C995" s="43"/>
      <c r="G995" s="71"/>
      <c r="H995" s="71"/>
    </row>
    <row r="996">
      <c r="B996" s="97"/>
      <c r="C996" s="43"/>
      <c r="G996" s="71"/>
      <c r="H996" s="71"/>
    </row>
    <row r="997">
      <c r="B997" s="97"/>
      <c r="C997" s="43"/>
      <c r="G997" s="71"/>
      <c r="H997" s="71"/>
    </row>
    <row r="998">
      <c r="B998" s="97"/>
      <c r="C998" s="43"/>
      <c r="G998" s="71"/>
      <c r="H998" s="71"/>
    </row>
    <row r="999">
      <c r="B999" s="97"/>
      <c r="C999" s="43"/>
      <c r="G999" s="71"/>
      <c r="H999" s="71"/>
    </row>
    <row r="1000">
      <c r="B1000" s="97"/>
      <c r="C1000" s="43"/>
      <c r="G1000" s="71"/>
      <c r="H1000" s="71"/>
    </row>
    <row r="1001">
      <c r="B1001" s="97"/>
      <c r="C1001" s="43"/>
      <c r="G1001" s="71"/>
      <c r="H1001" s="71"/>
    </row>
  </sheetData>
  <mergeCells count="5">
    <mergeCell ref="A1:H1"/>
    <mergeCell ref="A2:A4"/>
    <mergeCell ref="B2:B4"/>
    <mergeCell ref="C2:C4"/>
    <mergeCell ref="D2:H2"/>
  </mergeCells>
  <drawing r:id="rId1"/>
</worksheet>
</file>